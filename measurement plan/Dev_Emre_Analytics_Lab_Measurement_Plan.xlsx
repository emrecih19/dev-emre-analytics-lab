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mrec\Desktop\dev-emre-analytics-lab\docs\"/>
    </mc:Choice>
  </mc:AlternateContent>
  <xr:revisionPtr revIDLastSave="0" documentId="8_{9329A526-7145-4B0E-8C6E-58E24BED27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Event Plan" sheetId="2" r:id="rId2"/>
    <sheet name="Consent &amp; Identity" sheetId="3" r:id="rId3"/>
    <sheet name="QA Test Matrix" sheetId="4" r:id="rId4"/>
    <sheet name="Data Dictionary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E18" i="1"/>
  <c r="E17" i="1"/>
  <c r="E16" i="1"/>
  <c r="E15" i="1"/>
  <c r="B15" i="1"/>
</calcChain>
</file>

<file path=xl/sharedStrings.xml><?xml version="1.0" encoding="utf-8"?>
<sst xmlns="http://schemas.openxmlformats.org/spreadsheetml/2006/main" count="826" uniqueCount="581">
  <si>
    <t>Dev Emre Analytics Lab — Measurement Plan</t>
  </si>
  <si>
    <t>Project</t>
  </si>
  <si>
    <t>Dev Emre Analytics Lab</t>
  </si>
  <si>
    <t>Portfolio Positioning</t>
  </si>
  <si>
    <t>Environment</t>
  </si>
  <si>
    <t>WordPress + WooCommerce staging site</t>
  </si>
  <si>
    <t>Production-oriented portfolio specification covering ecommerce measurement, Consent Mode v2, data-layer and DOM troubleshooting, pseudonymous User-ID, QA evidence, Google Ads routing and Looker Studio reporting. Statuses distinguish validated work from planned improvements.</t>
  </si>
  <si>
    <t>GTM Container</t>
  </si>
  <si>
    <t>GTM-KFV3JHR8</t>
  </si>
  <si>
    <t>GA4 Measurement ID</t>
  </si>
  <si>
    <t>G-HHFN1QGW12</t>
  </si>
  <si>
    <t>Google Ads Destination</t>
  </si>
  <si>
    <t>AW-18218361928</t>
  </si>
  <si>
    <t>Currency</t>
  </si>
  <si>
    <t>PLN</t>
  </si>
  <si>
    <t>Consent Architecture</t>
  </si>
  <si>
    <t>Basic Consent Mode v2 via CookieYes</t>
  </si>
  <si>
    <t>Implementation Status Summary</t>
  </si>
  <si>
    <t>Status</t>
  </si>
  <si>
    <t>Count</t>
  </si>
  <si>
    <t>KPI</t>
  </si>
  <si>
    <t>Value</t>
  </si>
  <si>
    <t>Validated</t>
  </si>
  <si>
    <t>Total Events</t>
  </si>
  <si>
    <t>Implemented – Evidence Pending</t>
  </si>
  <si>
    <t>Validated Events</t>
  </si>
  <si>
    <t>Planned</t>
  </si>
  <si>
    <t>Implementation Coverage</t>
  </si>
  <si>
    <t>Consent Controls Validated</t>
  </si>
  <si>
    <t>Key Corrections Applied to the Original Plan</t>
  </si>
  <si>
    <t>1</t>
  </si>
  <si>
    <t>Separated data-layer source fields from GA4 event parameters and item-scoped parameters.</t>
  </si>
  <si>
    <t>2</t>
  </si>
  <si>
    <t>Replaced the numeric GA4 property reference with the actual Measurement ID G-HHFN1QGW12.</t>
  </si>
  <si>
    <t>3</t>
  </si>
  <si>
    <t>Corrected GA4 ecommerce names: item_category, index, item_list_name and item_list_id.</t>
  </si>
  <si>
    <t>4</t>
  </si>
  <si>
    <t>Moved User-ID from a fictional GA4 user-property event into a configuration and identity-control section.</t>
  </si>
  <si>
    <t>5</t>
  </si>
  <si>
    <t>Removed the recommendation to hash an email for User-ID; User-ID must be a non-PII internal identifier.</t>
  </si>
  <si>
    <t>6</t>
  </si>
  <si>
    <t>Documented add_to_cart as click-intent measurement because the current fallback is DOM-click based.</t>
  </si>
  <si>
    <t>7</t>
  </si>
  <si>
    <t>Moved consent logging and cart snapshots out of the GA4 event plan into technical control and QA sections.</t>
  </si>
  <si>
    <t>8</t>
  </si>
  <si>
    <t>Added missing recommended ecommerce lifecycle events as planned work rather than claiming they are implemented.</t>
  </si>
  <si>
    <t>9</t>
  </si>
  <si>
    <t>Added implementation status, evidence, ownership and known-limitations fields for portfolio credibility.</t>
  </si>
  <si>
    <t>Event Name</t>
  </si>
  <si>
    <t>Event Type</t>
  </si>
  <si>
    <t>Funnel Stage</t>
  </si>
  <si>
    <t>Business Objective / KPI</t>
  </si>
  <si>
    <t>Event Definition</t>
  </si>
  <si>
    <t>Data Source</t>
  </si>
  <si>
    <t>GTM Trigger / Condition</t>
  </si>
  <si>
    <t>Event-Scoped Parameters</t>
  </si>
  <si>
    <t>Item-Scoped Parameters</t>
  </si>
  <si>
    <t>GTM Tag / Destination</t>
  </si>
  <si>
    <t>Consent Requirement</t>
  </si>
  <si>
    <t>Acceptance Criteria</t>
  </si>
  <si>
    <t>Test Steps</t>
  </si>
  <si>
    <t>Current Status</t>
  </si>
  <si>
    <t>Evidence / Screenshot</t>
  </si>
  <si>
    <t>Known Limitation / Notes</t>
  </si>
  <si>
    <t>Owner</t>
  </si>
  <si>
    <t>page_view</t>
  </si>
  <si>
    <t>Automatically collected</t>
  </si>
  <si>
    <t>Awareness</t>
  </si>
  <si>
    <t>Pageviews, users, sessions</t>
  </si>
  <si>
    <t>Records a page load after the Google tag is permitted to run.</t>
  </si>
  <si>
    <t>Browser page context / Google tag</t>
  </si>
  <si>
    <t>Google tag on eligible page load</t>
  </si>
  <si>
    <t>page_location; page_title; page_referrer</t>
  </si>
  <si>
    <t>N/A</t>
  </si>
  <si>
    <t>Google tag → GA4</t>
  </si>
  <si>
    <t>analytics_storage = granted under Basic Mode</t>
  </si>
  <si>
    <t>One page_view is visible in DebugView with the correct URL and title.</t>
  </si>
  <si>
    <t>1) Start clean preview session; 2) grant analytics consent; 3) load page; 4) verify DebugView and Tag Assistant.</t>
  </si>
  <si>
    <t>screenshots/ecommerce/01-page-view.png</t>
  </si>
  <si>
    <t>Do not create a second manual page_view if the Google tag already sends it automatically.</t>
  </si>
  <si>
    <t>Emre</t>
  </si>
  <si>
    <t>view_item</t>
  </si>
  <si>
    <t>GA4 recommended ecommerce</t>
  </si>
  <si>
    <t>Product consideration</t>
  </si>
  <si>
    <t>Product-detail views; product view-to-cart rate</t>
  </si>
  <si>
    <t>Records a product detail page view with one product in the items array.</t>
  </si>
  <si>
    <t>GTM4WP ecommerce dataLayer</t>
  </si>
  <si>
    <t>Custom event / product-detail page event exposed by GTM4WP</t>
  </si>
  <si>
    <t>currency; value; items</t>
  </si>
  <si>
    <t>item_id; item_name; price; item_category; item_brand; quantity</t>
  </si>
  <si>
    <t>GA4 Event tag → GA4</t>
  </si>
  <si>
    <t>analytics_storage = granted</t>
  </si>
  <si>
    <t>Exactly one view_item event contains a populated items array and correct product values.</t>
  </si>
  <si>
    <t>1) Open a product page; 2) inspect ecommerce object; 3) verify tag firing; 4) verify DebugView parameters.</t>
  </si>
  <si>
    <t>screenshots/ecommerce/02-view-item.png</t>
  </si>
  <si>
    <t>Use item_id or item_name consistently; item_id is recommended for stable product matching.</t>
  </si>
  <si>
    <t>view_item_list</t>
  </si>
  <si>
    <t>Product discovery</t>
  </si>
  <si>
    <t>List impressions; list-to-product click rate</t>
  </si>
  <si>
    <t>Records products displayed in a product list, category section or homepage product block.</t>
  </si>
  <si>
    <t>WooCommerce list rendering / dataLayer</t>
  </si>
  <si>
    <t>Product-list impression event</t>
  </si>
  <si>
    <t>item_list_id; item_list_name; items</t>
  </si>
  <si>
    <t>item_id; item_name; price; index; item_category</t>
  </si>
  <si>
    <t>The event contains the visible products, a consistent list name or ID, and zero-based index values.</t>
  </si>
  <si>
    <t>1) Load a list page; 2) inspect rendered items; 3) verify items array and list context in DebugView.</t>
  </si>
  <si>
    <t>Useful prerequisite for reliable select_item and list-performance reporting.</t>
  </si>
  <si>
    <t>select_item</t>
  </si>
  <si>
    <t>Product-list click-through rate</t>
  </si>
  <si>
    <t>Records selection of a product from a named product list.</t>
  </si>
  <si>
    <t>DOM click plus product/list context</t>
  </si>
  <si>
    <t>Click on a product link inside an instrumented list</t>
  </si>
  <si>
    <t>Exactly one event fires before navigation and identifies the selected product and source list.</t>
  </si>
  <si>
    <t>1) Click a product in a list; 2) verify one event; 3) verify item and list context; 4) confirm navigation is not disrupted.</t>
  </si>
  <si>
    <t>Avoid inventing a callback requirement unless a callback is actually implemented. A link-click trigger or event callback may be used if needed.</t>
  </si>
  <si>
    <t>add_to_cart</t>
  </si>
  <si>
    <t>Cart</t>
  </si>
  <si>
    <t>Add-to-cart rate</t>
  </si>
  <si>
    <t>Records user intent to add a product to the cart in the current DOM-fallback implementation.</t>
  </si>
  <si>
    <t>DOM click fallback</t>
  </si>
  <si>
    <t>Listing/homepage: Click Element matches `button.add_to_cart_button, .add_to_cart_button`; product page: Click Classes contains `single_add_to_cart_button`</t>
  </si>
  <si>
    <t>item_id; item_name; price; quantity; item_category</t>
  </si>
  <si>
    <t>GA4 Event tag → GA4 and Google Ads where configured</t>
  </si>
  <si>
    <t>analytics_storage = granted; advertising routing follows ad consent</t>
  </si>
  <si>
    <t>One event fires for each tested add-to-cart interaction with the correct item, value and quantity.</t>
  </si>
  <si>
    <t>1) Test listing button; 2) test product-page button; 3) verify one hit per click; 4) inspect ecommerce parameters.</t>
  </si>
  <si>
    <t>screenshots/ecommerce/03-add-to-cart.png</t>
  </si>
  <si>
    <t>Measures click intent, not confirmed WooCommerce AJAX or backend cart mutation.</t>
  </si>
  <si>
    <t>view_cart</t>
  </si>
  <si>
    <t>Cart-view rate; cart abandonment</t>
  </si>
  <si>
    <t>Records display of the cart and its current contents.</t>
  </si>
  <si>
    <t>WooCommerce cart page / dataLayer</t>
  </si>
  <si>
    <t>Cart page load or cart-view event</t>
  </si>
  <si>
    <t>One event contains all current cart items and the displayed cart value.</t>
  </si>
  <si>
    <t>1) Add products; 2) open cart; 3) compare event items and value with the visible cart.</t>
  </si>
  <si>
    <t>Use a fresh ecommerce object to avoid stale item arrays.</t>
  </si>
  <si>
    <t>remove_from_cart</t>
  </si>
  <si>
    <t>Cart-removal rate</t>
  </si>
  <si>
    <t>Records removal of one or more products from the cart.</t>
  </si>
  <si>
    <t>WooCommerce cart update / successful removal</t>
  </si>
  <si>
    <t>Confirmed item removal event</t>
  </si>
  <si>
    <t>item_id; item_name; price; quantity</t>
  </si>
  <si>
    <t>The event identifies the removed item and quantity once the cart update succeeds.</t>
  </si>
  <si>
    <t>1) Remove an item; 2) verify successful cart update; 3) inspect items and value.</t>
  </si>
  <si>
    <t>Prefer confirmed cart-state change over a raw delete-button click.</t>
  </si>
  <si>
    <t>begin_checkout</t>
  </si>
  <si>
    <t>Checkout</t>
  </si>
  <si>
    <t>Checkout-start rate</t>
  </si>
  <si>
    <t>Records entry into the checkout process with the current cart contents.</t>
  </si>
  <si>
    <t>GTM4WP checkout dataLayer</t>
  </si>
  <si>
    <t>Checkout-start event or first checkout page load</t>
  </si>
  <si>
    <t>currency; value; coupon; items</t>
  </si>
  <si>
    <t>One begin_checkout event contains the complete cart, correct currency and matching value.</t>
  </si>
  <si>
    <t>1) Build a test cart; 2) proceed to checkout; 3) compare event value and items with the cart.</t>
  </si>
  <si>
    <t>screenshots/ecommerce/04-begin-checkout.png</t>
  </si>
  <si>
    <t>Do not use a non-standard checkout-step index unless the business has a documented custom funnel requirement.</t>
  </si>
  <si>
    <t>add_shipping_info</t>
  </si>
  <si>
    <t>Shipping-step completion rate</t>
  </si>
  <si>
    <t>Records submission of shipping information during checkout.</t>
  </si>
  <si>
    <t>WooCommerce checkout state / dataLayer</t>
  </si>
  <si>
    <t>Successful shipping-step submission</t>
  </si>
  <si>
    <t>currency; value; coupon; shipping_tier; items</t>
  </si>
  <si>
    <t>One event fires after valid shipping information is accepted and includes shipping_tier when available.</t>
  </si>
  <si>
    <t>1) Complete shipping details with test data; 2) continue; 3) verify event and no PII parameters.</t>
  </si>
  <si>
    <t>Never send names, addresses, emails or phone numbers as GA4 event parameters.</t>
  </si>
  <si>
    <t>add_payment_info</t>
  </si>
  <si>
    <t>Payment-step completion rate</t>
  </si>
  <si>
    <t>Records submission or selection of payment information during checkout.</t>
  </si>
  <si>
    <t>Successful payment-method submission or checkout step</t>
  </si>
  <si>
    <t>currency; value; coupon; payment_type; items</t>
  </si>
  <si>
    <t>One event fires after payment information is accepted and includes payment_type without PII.</t>
  </si>
  <si>
    <t>1) Select a test payment method; 2) continue checkout; 3) inspect event parameters; 4) confirm no form-field values are transmitted.</t>
  </si>
  <si>
    <t>The original plan omitted items and treated payment_method as a GTM variable without defining a reliable source.</t>
  </si>
  <si>
    <t>purchase</t>
  </si>
  <si>
    <t>Purchase</t>
  </si>
  <si>
    <t>Revenue; transactions; ecommerce conversion rate; AOV</t>
  </si>
  <si>
    <t>Records a completed order on the order-received page.</t>
  </si>
  <si>
    <t>WooCommerce order data via GTM4WP</t>
  </si>
  <si>
    <t>Confirmed order-received / purchase dataLayer event</t>
  </si>
  <si>
    <t>transaction_id; value; currency; tax; shipping; coupon; items</t>
  </si>
  <si>
    <t>item_id; item_name; price; quantity; item_category; discount</t>
  </si>
  <si>
    <t>GA4 Event tag → GA4 and Google Ads conversion where configured</t>
  </si>
  <si>
    <t>analytics_storage = granted; ad consent for advertising destination</t>
  </si>
  <si>
    <t>The transaction ID is unique, value and currency match the order, and the items array matches purchased products.</t>
  </si>
  <si>
    <t>1) Complete a test order; 2) inspect purchase object; 3) compare order total; 4) verify DebugView; 5) reload order page and assess duplication.</t>
  </si>
  <si>
    <t>screenshots/ecommerce/05-purchase.png</t>
  </si>
  <si>
    <t>Document a dedicated refresh/deduplication regression test. GTM firing frequency alone is not purchase deduplication.</t>
  </si>
  <si>
    <t>refund</t>
  </si>
  <si>
    <t>Post-purchase</t>
  </si>
  <si>
    <t>Refund amount; net revenue</t>
  </si>
  <si>
    <t>Records a full or partial refund using the original transaction ID.</t>
  </si>
  <si>
    <t>WooCommerce order administration / server-side or controlled import</t>
  </si>
  <si>
    <t>Confirmed refund operation</t>
  </si>
  <si>
    <t>transaction_id; value; currency; coupon; items</t>
  </si>
  <si>
    <t>GA4 event via suitable implementation</t>
  </si>
  <si>
    <t>Applicable consent and data-governance rules</t>
  </si>
  <si>
    <t>Refund references a valid transaction ID and accurately represents full or partial refunded value.</t>
  </si>
  <si>
    <t>1) Create a controlled test refund; 2) compare with order record; 3) verify event and item scope.</t>
  </si>
  <si>
    <t>A robust refund implementation may require server-side or backend integration.</t>
  </si>
  <si>
    <t>search</t>
  </si>
  <si>
    <t>GA4 recommended</t>
  </si>
  <si>
    <t>Search usage; zero-result opportunities</t>
  </si>
  <si>
    <t>Records a completed internal-site search.</t>
  </si>
  <si>
    <t>WordPress search result page</t>
  </si>
  <si>
    <t>Search-results page load with a valid query</t>
  </si>
  <si>
    <t>search_term</t>
  </si>
  <si>
    <t>One event contains the normalized search term and does not expose sensitive user input.</t>
  </si>
  <si>
    <t>1) Run a test search; 2) inspect search_term; 3) confirm one event.</t>
  </si>
  <si>
    <t>Consider excluding or redacting potentially sensitive free-text searches.</t>
  </si>
  <si>
    <t>login</t>
  </si>
  <si>
    <t>Account</t>
  </si>
  <si>
    <t>Login completion rate</t>
  </si>
  <si>
    <t>Records successful authentication.</t>
  </si>
  <si>
    <t>GTM4WP login event / WordPress state</t>
  </si>
  <si>
    <t>Successful login event</t>
  </si>
  <si>
    <t>method</t>
  </si>
  <si>
    <t>One login event fires after successful authentication; failed attempts do not fire it.</t>
  </si>
  <si>
    <t>1) Login with test account; 2) verify one event; 3) confirm method when available.</t>
  </si>
  <si>
    <t>Do not place email, username or account ID in event parameters.</t>
  </si>
  <si>
    <t>sign_up</t>
  </si>
  <si>
    <t>Registration completion rate</t>
  </si>
  <si>
    <t>Records successful creation of a user account.</t>
  </si>
  <si>
    <t>GTM4WP registration event / WordPress state</t>
  </si>
  <si>
    <t>Successful registration event</t>
  </si>
  <si>
    <t>One sign_up event fires only after successful account creation.</t>
  </si>
  <si>
    <t>1) Register a test account; 2) verify one event; 3) confirm no PII is transmitted.</t>
  </si>
  <si>
    <t>page_not_found</t>
  </si>
  <si>
    <t>Custom event</t>
  </si>
  <si>
    <t>Technical health</t>
  </si>
  <si>
    <t>404 frequency; broken-link journeys</t>
  </si>
  <si>
    <t>Records display of a WordPress 404 page.</t>
  </si>
  <si>
    <t>GTM4WP page context: pagePostType = "404-error"</t>
  </si>
  <si>
    <t>Custom Event / page-context trigger where pagePostType equals "404-error"</t>
  </si>
  <si>
    <t>page_location; page_referrer</t>
  </si>
  <si>
    <t>One event fires on an invalid URL and contains the missing URL and referring page.</t>
  </si>
  <si>
    <t>1) Open an intentionally invalid URL; 2) verify pagePostType; 3) inspect event and referrer.</t>
  </si>
  <si>
    <t>screenshots/errors/01-page-not-found.png</t>
  </si>
  <si>
    <t>The custom event name starts with a letter and is suitable for GA4 naming rules.</t>
  </si>
  <si>
    <t>Control</t>
  </si>
  <si>
    <t>Purpose</t>
  </si>
  <si>
    <t>Default / Configured Value</t>
  </si>
  <si>
    <t>Update Rule / Scope</t>
  </si>
  <si>
    <t>Implementation Point</t>
  </si>
  <si>
    <t>Evidence / Notes</t>
  </si>
  <si>
    <t>Consent Mode Type</t>
  </si>
  <si>
    <t>Define tag behavior before consent</t>
  </si>
  <si>
    <t>Basic Consent Mode v2</t>
  </si>
  <si>
    <t>Google measurement tags are gated until relevant consent is granted.</t>
  </si>
  <si>
    <t>CookieYes + GTM</t>
  </si>
  <si>
    <t>Tag Assistant confirms no measurement tag activity before relevant opt-in under the configured Basic Mode.</t>
  </si>
  <si>
    <t>Validated in clean browser sessions.</t>
  </si>
  <si>
    <t>analytics_storage</t>
  </si>
  <si>
    <t>Control Analytics storage</t>
  </si>
  <si>
    <t>denied</t>
  </si>
  <si>
    <t>Updates to granted after analytics consent.</t>
  </si>
  <si>
    <t>CookieYes Consent Mode</t>
  </si>
  <si>
    <t>Default denied is set before measurement tags; update is visible after opt-in.</t>
  </si>
  <si>
    <t>Tag Assistant Consent tab.</t>
  </si>
  <si>
    <t>ad_storage</t>
  </si>
  <si>
    <t>Control advertising storage</t>
  </si>
  <si>
    <t>Updates to granted after advertising consent.</t>
  </si>
  <si>
    <t>Default denied and consent update are visible in Tag Assistant.</t>
  </si>
  <si>
    <t>ad_user_data</t>
  </si>
  <si>
    <t>Control sending user data for advertising</t>
  </si>
  <si>
    <t>Updates according to advertising consent.</t>
  </si>
  <si>
    <t>CookieYes Consent Mode v2</t>
  </si>
  <si>
    <t>Parameter is present in both default and update consent calls.</t>
  </si>
  <si>
    <t>ad_personalization</t>
  </si>
  <si>
    <t>Control personalized advertising</t>
  </si>
  <si>
    <t>ads_data_redaction</t>
  </si>
  <si>
    <t>Additional protection when ad_storage is denied</t>
  </si>
  <si>
    <t>true</t>
  </si>
  <si>
    <t>Applies to eligible Google Ads and Floodlight requests.</t>
  </si>
  <si>
    <t>CookieYes GCM configuration</t>
  </si>
  <si>
    <t>Runtime configuration exposes ads_data_redaction = true.</t>
  </si>
  <si>
    <t>Does not redact every network request and is not a substitute for consent.</t>
  </si>
  <si>
    <t>url_passthrough</t>
  </si>
  <si>
    <t>Help preserve eligible click/client/session data during same-domain navigation</t>
  </si>
  <si>
    <t>Applies only when Google's prerequisites are met.</t>
  </si>
  <si>
    <t>Runtime configuration exposes url_passthrough = true.</t>
  </si>
  <si>
    <t>Does not guarantee attribution preservation.</t>
  </si>
  <si>
    <t>User-ID</t>
  </si>
  <si>
    <t>Associate authenticated activity across sessions and devices</t>
  </si>
  <si>
    <t>Pseudonymous internal visitorId</t>
  </si>
  <si>
    <t>Set only for authenticated users; clear when the user logs out.</t>
  </si>
  <si>
    <t>Google tag configuration via GTM Data Layer Variable</t>
  </si>
  <si>
    <t>Logged-in events contain the intended non-PII ID; anonymous events contain no stale user_id.</t>
  </si>
  <si>
    <t>User-ID is a configuration field, not a GA4 user property or a standalone required event.</t>
  </si>
  <si>
    <t>PII Guardrail</t>
  </si>
  <si>
    <t>Prevent prohibited data collection</t>
  </si>
  <si>
    <t>No direct PII in GA4 parameters or User-ID</t>
  </si>
  <si>
    <t>Applies to every event, URL, data-layer field and GTM tag.</t>
  </si>
  <si>
    <t>Implementation and QA process</t>
  </si>
  <si>
    <t>No email, name, phone, address or username is sent to GA4.</t>
  </si>
  <si>
    <t>Hashing an email does not turn it into an acceptable GA4 User-ID under the standard User-ID policy.</t>
  </si>
  <si>
    <t>Consent Persistence</t>
  </si>
  <si>
    <t>Preserve the visitor's choice</t>
  </si>
  <si>
    <t>CookieYes preference storage</t>
  </si>
  <si>
    <t>Choice remains consistent after reload and same-domain navigation.</t>
  </si>
  <si>
    <t>CookieYes</t>
  </si>
  <si>
    <t>Consent state remains correct on subsequent page loads.</t>
  </si>
  <si>
    <t>Test ID</t>
  </si>
  <si>
    <t>Area</t>
  </si>
  <si>
    <t>Test Scenario</t>
  </si>
  <si>
    <t>Preconditions</t>
  </si>
  <si>
    <t>Expected Result</t>
  </si>
  <si>
    <t>Validation Tool</t>
  </si>
  <si>
    <t>Evidence Path</t>
  </si>
  <si>
    <t>Regression Priority</t>
  </si>
  <si>
    <t>Notes</t>
  </si>
  <si>
    <t>CONS-01</t>
  </si>
  <si>
    <t>Consent</t>
  </si>
  <si>
    <t>Default consent state</t>
  </si>
  <si>
    <t>Clean browser storage; no banner choice</t>
  </si>
  <si>
    <t>analytics_storage, ad_storage, ad_user_data and ad_personalization are denied before measurement tags.</t>
  </si>
  <si>
    <t>Tag Assistant</t>
  </si>
  <si>
    <t>screenshots/consent/01-default-denied.png</t>
  </si>
  <si>
    <t>Critical</t>
  </si>
  <si>
    <t>CONS-02</t>
  </si>
  <si>
    <t>Accept All</t>
  </si>
  <si>
    <t>Clean browser storage</t>
  </si>
  <si>
    <t>The relevant four consent signals update to granted and eligible tags can run.</t>
  </si>
  <si>
    <t>screenshots/consent/02-accept-granted.png</t>
  </si>
  <si>
    <t>CONS-03</t>
  </si>
  <si>
    <t>Reject All</t>
  </si>
  <si>
    <t>All four signals remain denied and Basic Mode tag gating remains effective.</t>
  </si>
  <si>
    <t>screenshots/consent/03-reject-denied.png</t>
  </si>
  <si>
    <t>CONS-04</t>
  </si>
  <si>
    <t>Preference persistence</t>
  </si>
  <si>
    <t>Consent choice already stored</t>
  </si>
  <si>
    <t>Consent state remains consistent after reload and navigation.</t>
  </si>
  <si>
    <t>Tag Assistant + Application storage</t>
  </si>
  <si>
    <t>screenshots/consent/04-persistence.png</t>
  </si>
  <si>
    <t>High</t>
  </si>
  <si>
    <t>GTM-01</t>
  </si>
  <si>
    <t>Container</t>
  </si>
  <si>
    <t>GTM runtime detection</t>
  </si>
  <si>
    <t>Site loaded in preview</t>
  </si>
  <si>
    <t>GTM-KFV3JHR8 loads successfully and Tag Assistant connects.</t>
  </si>
  <si>
    <t>Tag Assistant + Network</t>
  </si>
  <si>
    <t>screenshots/consent/05-google-tag-detected.png</t>
  </si>
  <si>
    <t>ECOM-01</t>
  </si>
  <si>
    <t>Ecommerce</t>
  </si>
  <si>
    <t>Product detail view</t>
  </si>
  <si>
    <t>Analytics consent granted</t>
  </si>
  <si>
    <t>Exactly one view_item event with correct items array.</t>
  </si>
  <si>
    <t>GTM Preview + DebugView</t>
  </si>
  <si>
    <t>ECOM-02</t>
  </si>
  <si>
    <t>Listing add-to-cart click</t>
  </si>
  <si>
    <t>Product listing displayed; analytics consent granted</t>
  </si>
  <si>
    <t>Exactly one add_to_cart intent event with correct product and quantity.</t>
  </si>
  <si>
    <t>screenshots/ecommerce/03-add-to-cart-listing.png</t>
  </si>
  <si>
    <t>DOM-click fallback.</t>
  </si>
  <si>
    <t>ECOM-03</t>
  </si>
  <si>
    <t>Single-product add-to-cart click</t>
  </si>
  <si>
    <t>Product detail page displayed; analytics consent granted</t>
  </si>
  <si>
    <t>screenshots/ecommerce/04-add-to-cart-product.png</t>
  </si>
  <si>
    <t>Separate trigger using single_add_to_cart_button.</t>
  </si>
  <si>
    <t>ECOM-04</t>
  </si>
  <si>
    <t>Checkout start</t>
  </si>
  <si>
    <t>Cart contains test items</t>
  </si>
  <si>
    <t>One begin_checkout event matches cart value, currency and items.</t>
  </si>
  <si>
    <t>screenshots/ecommerce/05-begin-checkout.png</t>
  </si>
  <si>
    <t>ECOM-05</t>
  </si>
  <si>
    <t>Purchase completion</t>
  </si>
  <si>
    <t>Test order completed</t>
  </si>
  <si>
    <t>One purchase event has unique transaction_id and order-matching value, currency and items.</t>
  </si>
  <si>
    <t>screenshots/ecommerce/06-purchase.png</t>
  </si>
  <si>
    <t>ECOM-06</t>
  </si>
  <si>
    <t>Purchase page refresh</t>
  </si>
  <si>
    <t>Completed test order; order-received page available</t>
  </si>
  <si>
    <t>Reloading the confirmation page does not create an unintended duplicate transaction in downstream reporting.</t>
  </si>
  <si>
    <t>Network + DebugView + GA4 reporting</t>
  </si>
  <si>
    <t>Dedicated deduplication regression test.</t>
  </si>
  <si>
    <t>TECH-01</t>
  </si>
  <si>
    <t>Technical Health</t>
  </si>
  <si>
    <t>404 event</t>
  </si>
  <si>
    <t>Open intentionally invalid URL</t>
  </si>
  <si>
    <t>One page_not_found event contains page_location and page_referrer.</t>
  </si>
  <si>
    <t>Medium</t>
  </si>
  <si>
    <t>ID-01</t>
  </si>
  <si>
    <t>Identity</t>
  </si>
  <si>
    <t>Logged-in User-ID</t>
  </si>
  <si>
    <t>Authenticated test user</t>
  </si>
  <si>
    <t>A stable non-PII user_id is attached to authenticated events.</t>
  </si>
  <si>
    <t>ID-02</t>
  </si>
  <si>
    <t>Logout clearing</t>
  </si>
  <si>
    <t>User-ID previously set; then log out</t>
  </si>
  <si>
    <t>Subsequent anonymous events contain no stale user_id.</t>
  </si>
  <si>
    <t>PRIV-01</t>
  </si>
  <si>
    <t>Privacy</t>
  </si>
  <si>
    <t>PII review</t>
  </si>
  <si>
    <t>Representative events triggered</t>
  </si>
  <si>
    <t>No prohibited direct PII appears in URLs, event parameters, item fields or User-ID.</t>
  </si>
  <si>
    <t>Network + GTM export review</t>
  </si>
  <si>
    <t>ADS-01</t>
  </si>
  <si>
    <t>Google Ads</t>
  </si>
  <si>
    <t>Purchase conversion routing</t>
  </si>
  <si>
    <t>Advertising consent granted; test order completed</t>
  </si>
  <si>
    <t>The intended Google Ads conversion action receives value, currency and transaction ID without duplicate primary counting.</t>
  </si>
  <si>
    <t>GTM Preview + Google Ads diagnostics</t>
  </si>
  <si>
    <t>RPT-01</t>
  </si>
  <si>
    <t>Reporting</t>
  </si>
  <si>
    <t>Dashboard reconciliation</t>
  </si>
  <si>
    <t>GA4 processing completed</t>
  </si>
  <si>
    <t>Looker Studio revenue and purchases reconcile with test transactions within expected latency.</t>
  </si>
  <si>
    <t>GA4 + Looker Studio</t>
  </si>
  <si>
    <t>screenshots/dashboard/01-looker-dashboard.png</t>
  </si>
  <si>
    <t>Field / Parameter</t>
  </si>
  <si>
    <t>Scope</t>
  </si>
  <si>
    <t>Data Type</t>
  </si>
  <si>
    <t>Required When</t>
  </si>
  <si>
    <t>Example</t>
  </si>
  <si>
    <t>Definition</t>
  </si>
  <si>
    <t>Source / Derivation</t>
  </si>
  <si>
    <t>PII Risk</t>
  </si>
  <si>
    <t>items</t>
  </si>
  <si>
    <t>Event</t>
  </si>
  <si>
    <t>Array</t>
  </si>
  <si>
    <t>All ecommerce events</t>
  </si>
  <si>
    <t>[{...}]</t>
  </si>
  <si>
    <t>Array of item objects associated with the event.</t>
  </si>
  <si>
    <t>GTM4WP / WooCommerce ecommerce object</t>
  </si>
  <si>
    <t>Low</t>
  </si>
  <si>
    <t>Must be current for the event; avoid stale ecommerce objects.</t>
  </si>
  <si>
    <t>currency</t>
  </si>
  <si>
    <t>String</t>
  </si>
  <si>
    <t>Required when value is set</t>
  </si>
  <si>
    <t>Three-letter ISO 4217 currency code.</t>
  </si>
  <si>
    <t>WooCommerce store currency</t>
  </si>
  <si>
    <t>Use uppercase PLN.</t>
  </si>
  <si>
    <t>value</t>
  </si>
  <si>
    <t>Number</t>
  </si>
  <si>
    <t>Recommended for monetary ecommerce events</t>
  </si>
  <si>
    <t>129.00</t>
  </si>
  <si>
    <t>Monetary value of the event.</t>
  </si>
  <si>
    <t>WooCommerce product/cart/order total</t>
  </si>
  <si>
    <t>Do not include currency symbols.</t>
  </si>
  <si>
    <t>transaction_id</t>
  </si>
  <si>
    <t>purchase and refund</t>
  </si>
  <si>
    <t>ORDER-10025</t>
  </si>
  <si>
    <t>Unique transaction identifier.</t>
  </si>
  <si>
    <t>WooCommerce order ID or stable order reference</t>
  </si>
  <si>
    <t>Must be unique and stable; never use email.</t>
  </si>
  <si>
    <t>tax</t>
  </si>
  <si>
    <t>Optional on purchase</t>
  </si>
  <si>
    <t>23.00</t>
  </si>
  <si>
    <t>Tax associated with the transaction.</t>
  </si>
  <si>
    <t>WooCommerce order tax</t>
  </si>
  <si>
    <t>shipping</t>
  </si>
  <si>
    <t>12.00</t>
  </si>
  <si>
    <t>Shipping cost associated with the transaction.</t>
  </si>
  <si>
    <t>WooCommerce order shipping</t>
  </si>
  <si>
    <t>coupon</t>
  </si>
  <si>
    <t>Event or Item</t>
  </si>
  <si>
    <t>When a promotion is applied</t>
  </si>
  <si>
    <t>SUMMER10</t>
  </si>
  <si>
    <t>Coupon or promotion code.</t>
  </si>
  <si>
    <t>WooCommerce coupon data</t>
  </si>
  <si>
    <t>May appear at event and/or item scope.</t>
  </si>
  <si>
    <t>payment_type</t>
  </si>
  <si>
    <t>add_payment_info when available</t>
  </si>
  <si>
    <t>card</t>
  </si>
  <si>
    <t>Selected payment method category.</t>
  </si>
  <si>
    <t>WooCommerce payment-method identifier</t>
  </si>
  <si>
    <t>Do not send card details or provider account identifiers.</t>
  </si>
  <si>
    <t>shipping_tier</t>
  </si>
  <si>
    <t>add_shipping_info when available</t>
  </si>
  <si>
    <t>standard</t>
  </si>
  <si>
    <t>Selected shipping service or tier.</t>
  </si>
  <si>
    <t>WooCommerce shipping method</t>
  </si>
  <si>
    <t>locket</t>
  </si>
  <si>
    <t>Internal search query.</t>
  </si>
  <si>
    <t>WordPress search query</t>
  </si>
  <si>
    <t>Review free text for sensitive content.</t>
  </si>
  <si>
    <t>page_location</t>
  </si>
  <si>
    <t>Event / Config</t>
  </si>
  <si>
    <t>page_view and page_not_found</t>
  </si>
  <si>
    <t>https://example.com/product/a</t>
  </si>
  <si>
    <t>Full page URL.</t>
  </si>
  <si>
    <t>Browser location</t>
  </si>
  <si>
    <t>Prevent PII from entering query parameters.</t>
  </si>
  <si>
    <t>page_referrer</t>
  </si>
  <si>
    <t>https://example.com/shop</t>
  </si>
  <si>
    <t>Previous-page URL.</t>
  </si>
  <si>
    <t>Browser referrer</t>
  </si>
  <si>
    <t>Review external URLs for unexpected query data.</t>
  </si>
  <si>
    <t>user_id</t>
  </si>
  <si>
    <t>Configuration</t>
  </si>
  <si>
    <t>Authenticated sessions only</t>
  </si>
  <si>
    <t>u_10482</t>
  </si>
  <si>
    <t>Site-owner-assigned non-PII identifier.</t>
  </si>
  <si>
    <t>GTM4WP visitorId / internal account mapping</t>
  </si>
  <si>
    <t>Must not itself be PII; clear after logout.</t>
  </si>
  <si>
    <t>item_id</t>
  </si>
  <si>
    <t>Item</t>
  </si>
  <si>
    <t>At least item_id or item_name</t>
  </si>
  <si>
    <t>SKU-LOCKET-01</t>
  </si>
  <si>
    <t>Stable product identifier.</t>
  </si>
  <si>
    <t>WooCommerce SKU or product ID</t>
  </si>
  <si>
    <t>Use one identifier convention consistently.</t>
  </si>
  <si>
    <t>item_name</t>
  </si>
  <si>
    <t>Ivy Vintage Locket Necklace</t>
  </si>
  <si>
    <t>Product name.</t>
  </si>
  <si>
    <t>WooCommerce product title</t>
  </si>
  <si>
    <t>price</t>
  </si>
  <si>
    <t>Recommended for ecommerce items</t>
  </si>
  <si>
    <t>Unit price after item-level discount, where applicable.</t>
  </si>
  <si>
    <t>WooCommerce product/order line</t>
  </si>
  <si>
    <t>quantity</t>
  </si>
  <si>
    <t>Recommended for cart and purchase events</t>
  </si>
  <si>
    <t>Number of item units.</t>
  </si>
  <si>
    <t>WooCommerce cart/order line</t>
  </si>
  <si>
    <t>item_brand</t>
  </si>
  <si>
    <t>Optional</t>
  </si>
  <si>
    <t>Solstice Jewelry</t>
  </si>
  <si>
    <t>Product brand.</t>
  </si>
  <si>
    <t>Product metadata</t>
  </si>
  <si>
    <t>item_category</t>
  </si>
  <si>
    <t>Necklaces</t>
  </si>
  <si>
    <t>Primary product category.</t>
  </si>
  <si>
    <t>WooCommerce product taxonomy</t>
  </si>
  <si>
    <t>Use item_category, not category.</t>
  </si>
  <si>
    <t>item_category2</t>
  </si>
  <si>
    <t>Vintage</t>
  </si>
  <si>
    <t>Second category level.</t>
  </si>
  <si>
    <t>item_list_id</t>
  </si>
  <si>
    <t>view_item_list and select_item</t>
  </si>
  <si>
    <t>homepage_featured</t>
  </si>
  <si>
    <t>Stable identifier for the product list.</t>
  </si>
  <si>
    <t>Page/module definition</t>
  </si>
  <si>
    <t>item_list_name</t>
  </si>
  <si>
    <t>Homepage Featured Products</t>
  </si>
  <si>
    <t>Human-readable product-list name.</t>
  </si>
  <si>
    <t>Use item_list_name, not list.</t>
  </si>
  <si>
    <t>index</t>
  </si>
  <si>
    <t>List events</t>
  </si>
  <si>
    <t>0</t>
  </si>
  <si>
    <t>Zero-based item position in a list.</t>
  </si>
  <si>
    <t>Rendered list order</t>
  </si>
  <si>
    <t>Use index, not position.</t>
  </si>
  <si>
    <t>discount</t>
  </si>
  <si>
    <t>10.00</t>
  </si>
  <si>
    <t>Item-level monetary discount.</t>
  </si>
  <si>
    <t>WooCommerce line-item pricing</t>
  </si>
  <si>
    <t>affiliation</t>
  </si>
  <si>
    <t>Solstice Jewelry Store</t>
  </si>
  <si>
    <t>Store or affiliation associated with the item.</t>
  </si>
  <si>
    <t>Static project value</t>
  </si>
  <si>
    <t>Source</t>
  </si>
  <si>
    <t>URL / Reference</t>
  </si>
  <si>
    <t>Used For</t>
  </si>
  <si>
    <t>Original user-provided measurement plan</t>
  </si>
  <si>
    <t>Uploaded file: Pasted text(3).txt</t>
  </si>
  <si>
    <t>Baseline rows, current event scope and project-specific implementation details</t>
  </si>
  <si>
    <t>Google Analytics — Measure ecommerce</t>
  </si>
  <si>
    <t>https://developers.google.com/analytics/devguides/collection/ga4/ecommerce</t>
  </si>
  <si>
    <t>Recommended ecommerce lifecycle and example parameters</t>
  </si>
  <si>
    <t>Google Analytics — Recommended events</t>
  </si>
  <si>
    <t>https://developers.google.com/analytics/devguides/collection/ga4/reference/events</t>
  </si>
  <si>
    <t>Event definitions and parameter names</t>
  </si>
  <si>
    <t>Google Analytics — Send user IDs</t>
  </si>
  <si>
    <t>https://developers.google.com/analytics/devguides/collection/ga4/user-id</t>
  </si>
  <si>
    <t>User-ID implementation and configuration scope</t>
  </si>
  <si>
    <t>Google Analytics — Configuration reference</t>
  </si>
  <si>
    <t>https://developers.google.com/analytics/devguides/collection/ga4/reference/config</t>
  </si>
  <si>
    <t>page fields, send_page_view and user_id configuration</t>
  </si>
  <si>
    <t>Google Analytics — Avoid sending PII</t>
  </si>
  <si>
    <t>https://support.google.com/analytics/answer/6366371?hl=en</t>
  </si>
  <si>
    <t>PII guardrails</t>
  </si>
  <si>
    <t>Google Tag Platform — Set up consent mode</t>
  </si>
  <si>
    <t>https://developers.google.com/tag-platform/security/guides/consent</t>
  </si>
  <si>
    <t>Consent Mode v2 signals, ads data redaction and URL passthrough</t>
  </si>
  <si>
    <t>Google Tag Platform — Troubleshoot consent mode</t>
  </si>
  <si>
    <t>https://developers.google.com/tag-platform/security/guides/consent-debugging</t>
  </si>
  <si>
    <t>Tag Assistant consent validation</t>
  </si>
  <si>
    <t>Google Tag Platform — The data layer</t>
  </si>
  <si>
    <t>https://developers.google.com/tag-platform/tag-manager/datalayer</t>
  </si>
  <si>
    <t>Data-layer structure and GTM event-trigger behavior</t>
  </si>
  <si>
    <t>N/A (Not Applicable)</t>
  </si>
  <si>
    <t>Registration functionality is disabled on the frontend in the current staging environment. Test skipped.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</si>
</sst>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1F2937"/>
      <name val="Carlito"/>
    </font>
    <font>
      <sz val="10"/>
      <color rgb="FF1F2937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0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7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9" fontId="0" fillId="0" borderId="4" xfId="0" applyNumberFormat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4" fillId="4" borderId="0" xfId="0" applyFont="1" applyFill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5" xfId="0" applyFont="1" applyFill="1" applyBorder="1" applyAlignment="1">
      <alignment vertical="top" wrapText="1"/>
    </xf>
    <xf numFmtId="0" fontId="3" fillId="5" borderId="8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6" fillId="6" borderId="0" xfId="0" applyFont="1" applyFill="1" applyAlignment="1">
      <alignment vertical="top" wrapText="1"/>
    </xf>
  </cellXfs>
  <cellStyles count="1">
    <cellStyle name="Normal" xfId="0" builtinId="0"/>
  </cellStyles>
  <dxfs count="22"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tr-TR"/>
              <a:t>Event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Overview!$A$15:$A$17</c:f>
              <c:strCache>
                <c:ptCount val="3"/>
                <c:pt idx="0">
                  <c:v>Validated</c:v>
                </c:pt>
                <c:pt idx="1">
                  <c:v>Implemented – Evidence Pending</c:v>
                </c:pt>
                <c:pt idx="2">
                  <c:v>Planned</c:v>
                </c:pt>
              </c:strCache>
            </c:strRef>
          </c:cat>
          <c:val>
            <c:numRef>
              <c:f>Overview!$B$15:$B$17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2-4071-A305-ED63A11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PlanTable" displayName="EventPlanTable" ref="A1:Q17">
  <tableColumns count="17">
    <tableColumn id="1" xr3:uid="{00000000-0010-0000-0000-000001000000}" name="Event Name"/>
    <tableColumn id="2" xr3:uid="{00000000-0010-0000-0000-000002000000}" name="Event Type"/>
    <tableColumn id="3" xr3:uid="{00000000-0010-0000-0000-000003000000}" name="Funnel Stage"/>
    <tableColumn id="4" xr3:uid="{00000000-0010-0000-0000-000004000000}" name="Business Objective / KPI"/>
    <tableColumn id="5" xr3:uid="{00000000-0010-0000-0000-000005000000}" name="Event Definition"/>
    <tableColumn id="6" xr3:uid="{00000000-0010-0000-0000-000006000000}" name="Data Source"/>
    <tableColumn id="7" xr3:uid="{00000000-0010-0000-0000-000007000000}" name="GTM Trigger / Condition"/>
    <tableColumn id="8" xr3:uid="{00000000-0010-0000-0000-000008000000}" name="Event-Scoped Parameters"/>
    <tableColumn id="9" xr3:uid="{00000000-0010-0000-0000-000009000000}" name="Item-Scoped Parameters"/>
    <tableColumn id="10" xr3:uid="{00000000-0010-0000-0000-00000A000000}" name="GTM Tag / Destination"/>
    <tableColumn id="11" xr3:uid="{00000000-0010-0000-0000-00000B000000}" name="Consent Requirement"/>
    <tableColumn id="12" xr3:uid="{00000000-0010-0000-0000-00000C000000}" name="Acceptance Criteria"/>
    <tableColumn id="13" xr3:uid="{00000000-0010-0000-0000-00000D000000}" name="Test Steps"/>
    <tableColumn id="14" xr3:uid="{00000000-0010-0000-0000-00000E000000}" name="Current Status"/>
    <tableColumn id="15" xr3:uid="{00000000-0010-0000-0000-00000F000000}" name="Evidence / Screenshot"/>
    <tableColumn id="16" xr3:uid="{00000000-0010-0000-0000-000010000000}" name="Known Limitation / Notes"/>
    <tableColumn id="17" xr3:uid="{00000000-0010-0000-0000-000011000000}" name="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sentIdentityTable" displayName="ConsentIdentityTable" ref="A1:H11">
  <tableColumns count="8">
    <tableColumn id="1" xr3:uid="{00000000-0010-0000-0100-000001000000}" name="Control"/>
    <tableColumn id="2" xr3:uid="{00000000-0010-0000-0100-000002000000}" name="Purpose"/>
    <tableColumn id="3" xr3:uid="{00000000-0010-0000-0100-000003000000}" name="Default / Configured Value"/>
    <tableColumn id="4" xr3:uid="{00000000-0010-0000-0100-000004000000}" name="Update Rule / Scope"/>
    <tableColumn id="5" xr3:uid="{00000000-0010-0000-0100-000005000000}" name="Implementation Point"/>
    <tableColumn id="6" xr3:uid="{00000000-0010-0000-0100-000006000000}" name="Acceptance Criteria"/>
    <tableColumn id="7" xr3:uid="{00000000-0010-0000-0100-000007000000}" name="Status"/>
    <tableColumn id="8" xr3:uid="{00000000-0010-0000-0100-000008000000}" name="Evidenc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ATestMatrixTable" displayName="QATestMatrixTable" ref="A1:J18">
  <tableColumns count="10">
    <tableColumn id="1" xr3:uid="{00000000-0010-0000-0200-000001000000}" name="Test ID"/>
    <tableColumn id="2" xr3:uid="{00000000-0010-0000-0200-000002000000}" name="Area"/>
    <tableColumn id="3" xr3:uid="{00000000-0010-0000-0200-000003000000}" name="Test Scenario"/>
    <tableColumn id="4" xr3:uid="{00000000-0010-0000-0200-000004000000}" name="Preconditions"/>
    <tableColumn id="5" xr3:uid="{00000000-0010-0000-0200-000005000000}" name="Expected Result"/>
    <tableColumn id="6" xr3:uid="{00000000-0010-0000-0200-000006000000}" name="Validation Tool"/>
    <tableColumn id="7" xr3:uid="{00000000-0010-0000-0200-000007000000}" name="Status"/>
    <tableColumn id="8" xr3:uid="{00000000-0010-0000-0200-000008000000}" name="Evidence Path"/>
    <tableColumn id="9" xr3:uid="{00000000-0010-0000-0200-000009000000}" name="Regression Priority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Table" displayName="DataDictionaryTable" ref="A1:I26">
  <tableColumns count="9">
    <tableColumn id="1" xr3:uid="{00000000-0010-0000-0300-000001000000}" name="Field / Parameter"/>
    <tableColumn id="2" xr3:uid="{00000000-0010-0000-0300-000002000000}" name="Scope"/>
    <tableColumn id="3" xr3:uid="{00000000-0010-0000-0300-000003000000}" name="Data Type"/>
    <tableColumn id="4" xr3:uid="{00000000-0010-0000-0300-000004000000}" name="Required When"/>
    <tableColumn id="5" xr3:uid="{00000000-0010-0000-0300-000005000000}" name="Example"/>
    <tableColumn id="6" xr3:uid="{00000000-0010-0000-0300-000006000000}" name="Definition"/>
    <tableColumn id="7" xr3:uid="{00000000-0010-0000-0300-000007000000}" name="Source / Derivation"/>
    <tableColumn id="8" xr3:uid="{00000000-0010-0000-0300-000008000000}" name="PII Risk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C10">
  <tableColumns count="3">
    <tableColumn id="1" xr3:uid="{00000000-0010-0000-0400-000001000000}" name="Source"/>
    <tableColumn id="2" xr3:uid="{00000000-0010-0000-0400-000002000000}" name="URL / Reference"/>
    <tableColumn id="3" xr3:uid="{00000000-0010-0000-0400-000003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workbookViewId="0">
      <selection activeCell="B18" sqref="B18"/>
    </sheetView>
  </sheetViews>
  <sheetFormatPr defaultRowHeight="13.8"/>
  <cols>
    <col min="1" max="1" width="18" customWidth="1"/>
    <col min="2" max="2" width="34" customWidth="1"/>
    <col min="3" max="3" width="4" customWidth="1"/>
    <col min="4" max="4" width="24" customWidth="1"/>
    <col min="5" max="5" width="18" customWidth="1"/>
    <col min="6" max="8" width="14" customWidth="1"/>
  </cols>
  <sheetData>
    <row r="1" spans="1:17" ht="22.35" customHeight="1">
      <c r="A1" s="20" t="s">
        <v>0</v>
      </c>
      <c r="B1" s="20"/>
      <c r="C1" s="20"/>
      <c r="D1" s="20"/>
      <c r="E1" s="20"/>
      <c r="F1" s="20"/>
      <c r="G1" s="20"/>
      <c r="H1" s="20"/>
      <c r="I1" s="9"/>
      <c r="J1" s="9"/>
      <c r="K1" s="9"/>
      <c r="L1" s="9"/>
      <c r="M1" s="9"/>
      <c r="N1" s="9"/>
      <c r="O1" s="9"/>
      <c r="P1" s="9"/>
      <c r="Q1" s="9"/>
    </row>
    <row r="2" spans="1:17" ht="22.35" customHeight="1">
      <c r="A2" s="20"/>
      <c r="B2" s="20"/>
      <c r="C2" s="20"/>
      <c r="D2" s="20"/>
      <c r="E2" s="20"/>
      <c r="F2" s="20"/>
      <c r="G2" s="20"/>
      <c r="H2" s="20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/>
      <c r="B3" s="10"/>
      <c r="C3" s="10"/>
      <c r="D3" s="10"/>
      <c r="E3" s="10"/>
      <c r="F3" s="10"/>
      <c r="G3" s="10"/>
      <c r="H3" s="10"/>
      <c r="I3" s="9"/>
      <c r="J3" s="9"/>
      <c r="K3" s="9"/>
      <c r="L3" s="9"/>
      <c r="M3" s="9"/>
      <c r="N3" s="9"/>
      <c r="O3" s="9"/>
      <c r="P3" s="9"/>
      <c r="Q3" s="9"/>
    </row>
    <row r="4" spans="1:17" ht="15.6">
      <c r="A4" s="11" t="s">
        <v>1</v>
      </c>
      <c r="B4" s="2" t="s">
        <v>2</v>
      </c>
      <c r="C4" s="10"/>
      <c r="D4" s="21" t="s">
        <v>3</v>
      </c>
      <c r="E4" s="21"/>
      <c r="F4" s="21"/>
      <c r="G4" s="21"/>
      <c r="H4" s="21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2" t="s">
        <v>4</v>
      </c>
      <c r="B5" s="3" t="s">
        <v>5</v>
      </c>
      <c r="C5" s="10"/>
      <c r="D5" s="22" t="s">
        <v>6</v>
      </c>
      <c r="E5" s="23"/>
      <c r="F5" s="23"/>
      <c r="G5" s="23"/>
      <c r="H5" s="24"/>
      <c r="I5" s="9"/>
      <c r="J5" s="9"/>
      <c r="K5" s="9"/>
      <c r="L5" s="9"/>
      <c r="M5" s="9"/>
      <c r="N5" s="9"/>
      <c r="O5" s="9"/>
      <c r="P5" s="9"/>
      <c r="Q5" s="9"/>
    </row>
    <row r="6" spans="1:17">
      <c r="A6" s="12" t="s">
        <v>7</v>
      </c>
      <c r="B6" s="3" t="s">
        <v>8</v>
      </c>
      <c r="C6" s="10"/>
      <c r="D6" s="25"/>
      <c r="E6" s="26"/>
      <c r="F6" s="26"/>
      <c r="G6" s="26"/>
      <c r="H6" s="27"/>
      <c r="I6" s="9"/>
      <c r="J6" s="9"/>
      <c r="K6" s="9"/>
      <c r="L6" s="9"/>
      <c r="M6" s="9"/>
      <c r="N6" s="9"/>
      <c r="O6" s="9"/>
      <c r="P6" s="9"/>
      <c r="Q6" s="9"/>
    </row>
    <row r="7" spans="1:17" ht="27.6">
      <c r="A7" s="12" t="s">
        <v>9</v>
      </c>
      <c r="B7" s="3" t="s">
        <v>10</v>
      </c>
      <c r="C7" s="10"/>
      <c r="D7" s="25"/>
      <c r="E7" s="26"/>
      <c r="F7" s="26"/>
      <c r="G7" s="26"/>
      <c r="H7" s="27"/>
      <c r="I7" s="9"/>
      <c r="J7" s="9"/>
      <c r="K7" s="9"/>
      <c r="L7" s="9"/>
      <c r="M7" s="9"/>
      <c r="N7" s="9"/>
      <c r="O7" s="9"/>
      <c r="P7" s="9"/>
      <c r="Q7" s="9"/>
    </row>
    <row r="8" spans="1:17" ht="27.6">
      <c r="A8" s="12" t="s">
        <v>11</v>
      </c>
      <c r="B8" s="3" t="s">
        <v>12</v>
      </c>
      <c r="C8" s="10"/>
      <c r="D8" s="25"/>
      <c r="E8" s="26"/>
      <c r="F8" s="26"/>
      <c r="G8" s="26"/>
      <c r="H8" s="27"/>
      <c r="I8" s="9"/>
      <c r="J8" s="9"/>
      <c r="K8" s="9"/>
      <c r="L8" s="9"/>
      <c r="M8" s="9"/>
      <c r="N8" s="9"/>
      <c r="O8" s="9"/>
      <c r="P8" s="9"/>
      <c r="Q8" s="9"/>
    </row>
    <row r="9" spans="1:17">
      <c r="A9" s="12" t="s">
        <v>13</v>
      </c>
      <c r="B9" s="3" t="s">
        <v>14</v>
      </c>
      <c r="C9" s="10"/>
      <c r="D9" s="25"/>
      <c r="E9" s="26"/>
      <c r="F9" s="26"/>
      <c r="G9" s="26"/>
      <c r="H9" s="27"/>
      <c r="I9" s="9"/>
      <c r="J9" s="9"/>
      <c r="K9" s="9"/>
      <c r="L9" s="9"/>
      <c r="M9" s="9"/>
      <c r="N9" s="9"/>
      <c r="O9" s="9"/>
      <c r="P9" s="9"/>
      <c r="Q9" s="9"/>
    </row>
    <row r="10" spans="1:17" ht="27.6">
      <c r="A10" s="13" t="s">
        <v>15</v>
      </c>
      <c r="B10" s="4" t="s">
        <v>16</v>
      </c>
      <c r="C10" s="10"/>
      <c r="D10" s="28"/>
      <c r="E10" s="29"/>
      <c r="F10" s="29"/>
      <c r="G10" s="29"/>
      <c r="H10" s="30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0"/>
      <c r="B11" s="10"/>
      <c r="C11" s="10"/>
      <c r="D11" s="10"/>
      <c r="E11" s="10"/>
      <c r="F11" s="10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</row>
    <row r="12" spans="1:17" ht="15.6">
      <c r="A12" s="21" t="s">
        <v>17</v>
      </c>
      <c r="B12" s="21"/>
      <c r="C12" s="21"/>
      <c r="D12" s="21"/>
      <c r="E12" s="21"/>
      <c r="F12" s="21"/>
      <c r="G12" s="21"/>
      <c r="H12" s="21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0"/>
      <c r="B13" s="10"/>
      <c r="C13" s="10"/>
      <c r="D13" s="10"/>
      <c r="E13" s="10"/>
      <c r="F13" s="10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4" t="s">
        <v>18</v>
      </c>
      <c r="B14" s="15" t="s">
        <v>19</v>
      </c>
      <c r="C14" s="10"/>
      <c r="D14" s="14" t="s">
        <v>20</v>
      </c>
      <c r="E14" s="15" t="s">
        <v>21</v>
      </c>
      <c r="F14" s="10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5" t="s">
        <v>22</v>
      </c>
      <c r="B15" s="16">
        <f>COUNTIF('Event Plan'!$N$2:$N$100,"Validated")</f>
        <v>7</v>
      </c>
      <c r="C15" s="10"/>
      <c r="D15" s="5" t="s">
        <v>23</v>
      </c>
      <c r="E15" s="16">
        <f>COUNTA('Event Plan'!$A$2:$A$100)</f>
        <v>16</v>
      </c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</row>
    <row r="16" spans="1:17" ht="26.4">
      <c r="A16" s="5" t="s">
        <v>24</v>
      </c>
      <c r="B16" s="16">
        <f>COUNTIF('Event Plan'!$N$2:$N$100,"Implemented – Evidence Pending")</f>
        <v>1</v>
      </c>
      <c r="C16" s="10"/>
      <c r="D16" s="5" t="s">
        <v>25</v>
      </c>
      <c r="E16" s="16">
        <f>COUNTIF('Event Plan'!$N$2:$N$100,"Validated")</f>
        <v>7</v>
      </c>
      <c r="F16" s="10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6" t="s">
        <v>26</v>
      </c>
      <c r="B17" s="10">
        <f>COUNTIF('Event Plan'!$N$2:$N$100,"Planned")</f>
        <v>7</v>
      </c>
      <c r="D17" s="5" t="s">
        <v>27</v>
      </c>
      <c r="E17" s="18">
        <f>IFERROR((COUNTIF('Event Plan'!$N$2:$N$100,"Validated")+COUNTIF('Event Plan'!$N$2:$N$100,"Implemented – Evidence Pending"))/COUNTA('Event Plan'!$A$2:$A$100),0)</f>
        <v>0.5</v>
      </c>
      <c r="F17" s="10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0"/>
      <c r="C18" s="10"/>
      <c r="D18" s="6" t="s">
        <v>28</v>
      </c>
      <c r="E18" s="17">
        <f>COUNTIF('Consent &amp; Identity'!$G$2:$G$100,"Validated")</f>
        <v>10</v>
      </c>
      <c r="F18" s="10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0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</row>
    <row r="20" spans="1:17" ht="15.6">
      <c r="A20" s="21" t="s">
        <v>29</v>
      </c>
      <c r="B20" s="21"/>
      <c r="C20" s="21"/>
      <c r="D20" s="21"/>
      <c r="E20" s="21"/>
      <c r="F20" s="21"/>
      <c r="G20" s="21"/>
      <c r="H20" s="21"/>
      <c r="I20" s="9"/>
      <c r="J20" s="9"/>
      <c r="K20" s="9"/>
      <c r="L20" s="9"/>
      <c r="M20" s="9"/>
      <c r="N20" s="9"/>
      <c r="O20" s="9"/>
      <c r="P20" s="9"/>
      <c r="Q20" s="9"/>
    </row>
    <row r="21" spans="1:17" ht="39.6">
      <c r="A21" s="11" t="s">
        <v>30</v>
      </c>
      <c r="B21" s="7" t="s">
        <v>31</v>
      </c>
      <c r="C21" s="7"/>
      <c r="D21" s="7"/>
      <c r="E21" s="7"/>
      <c r="F21" s="7"/>
      <c r="G21" s="7"/>
      <c r="H21" s="2"/>
      <c r="I21" s="9"/>
      <c r="J21" s="9"/>
      <c r="K21" s="9"/>
      <c r="L21" s="9"/>
      <c r="M21" s="9"/>
      <c r="N21" s="9"/>
      <c r="O21" s="9"/>
      <c r="P21" s="9"/>
      <c r="Q21" s="9"/>
    </row>
    <row r="22" spans="1:17" ht="39.6">
      <c r="A22" s="12" t="s">
        <v>32</v>
      </c>
      <c r="B22" s="1" t="s">
        <v>33</v>
      </c>
      <c r="C22" s="1"/>
      <c r="D22" s="1"/>
      <c r="E22" s="1"/>
      <c r="F22" s="1"/>
      <c r="G22" s="1"/>
      <c r="H22" s="3"/>
      <c r="I22" s="9"/>
      <c r="J22" s="9"/>
      <c r="K22" s="9"/>
      <c r="L22" s="9"/>
      <c r="M22" s="9"/>
      <c r="N22" s="9"/>
      <c r="O22" s="9"/>
      <c r="P22" s="9"/>
      <c r="Q22" s="9"/>
    </row>
    <row r="23" spans="1:17" ht="39.6">
      <c r="A23" s="12" t="s">
        <v>34</v>
      </c>
      <c r="B23" s="1" t="s">
        <v>35</v>
      </c>
      <c r="C23" s="1"/>
      <c r="D23" s="1"/>
      <c r="E23" s="1"/>
      <c r="F23" s="1"/>
      <c r="G23" s="1"/>
      <c r="H23" s="3"/>
      <c r="I23" s="9"/>
      <c r="J23" s="9"/>
      <c r="K23" s="9"/>
      <c r="L23" s="9"/>
      <c r="M23" s="9"/>
      <c r="N23" s="9"/>
      <c r="O23" s="9"/>
      <c r="P23" s="9"/>
      <c r="Q23" s="9"/>
    </row>
    <row r="24" spans="1:17" ht="39.6">
      <c r="A24" s="12" t="s">
        <v>36</v>
      </c>
      <c r="B24" s="1" t="s">
        <v>37</v>
      </c>
      <c r="C24" s="1"/>
      <c r="D24" s="1"/>
      <c r="E24" s="1"/>
      <c r="F24" s="1"/>
      <c r="G24" s="1"/>
      <c r="H24" s="3"/>
      <c r="I24" s="9"/>
      <c r="J24" s="9"/>
      <c r="K24" s="9"/>
      <c r="L24" s="9"/>
      <c r="M24" s="9"/>
      <c r="N24" s="9"/>
      <c r="O24" s="9"/>
      <c r="P24" s="9"/>
      <c r="Q24" s="9"/>
    </row>
    <row r="25" spans="1:17" ht="39.6">
      <c r="A25" s="12" t="s">
        <v>38</v>
      </c>
      <c r="B25" s="1" t="s">
        <v>39</v>
      </c>
      <c r="C25" s="1"/>
      <c r="D25" s="1"/>
      <c r="E25" s="1"/>
      <c r="F25" s="1"/>
      <c r="G25" s="1"/>
      <c r="H25" s="3"/>
      <c r="I25" s="9"/>
      <c r="J25" s="9"/>
      <c r="K25" s="9"/>
      <c r="L25" s="9"/>
      <c r="M25" s="9"/>
      <c r="N25" s="9"/>
      <c r="O25" s="9"/>
      <c r="P25" s="9"/>
      <c r="Q25" s="9"/>
    </row>
    <row r="26" spans="1:17" ht="39.6">
      <c r="A26" s="12" t="s">
        <v>40</v>
      </c>
      <c r="B26" s="1" t="s">
        <v>41</v>
      </c>
      <c r="C26" s="1"/>
      <c r="D26" s="1"/>
      <c r="E26" s="1"/>
      <c r="F26" s="1"/>
      <c r="G26" s="1"/>
      <c r="H26" s="3"/>
      <c r="I26" s="9"/>
      <c r="J26" s="9"/>
      <c r="K26" s="9"/>
      <c r="L26" s="9"/>
      <c r="M26" s="9"/>
      <c r="N26" s="9"/>
      <c r="O26" s="9"/>
      <c r="P26" s="9"/>
      <c r="Q26" s="9"/>
    </row>
    <row r="27" spans="1:17" ht="39.6">
      <c r="A27" s="12" t="s">
        <v>42</v>
      </c>
      <c r="B27" s="1" t="s">
        <v>43</v>
      </c>
      <c r="C27" s="1"/>
      <c r="D27" s="1"/>
      <c r="E27" s="1"/>
      <c r="F27" s="1"/>
      <c r="G27" s="1"/>
      <c r="H27" s="3"/>
      <c r="I27" s="9"/>
      <c r="J27" s="9"/>
      <c r="K27" s="9"/>
      <c r="L27" s="9"/>
      <c r="M27" s="9"/>
      <c r="N27" s="9"/>
      <c r="O27" s="9"/>
      <c r="P27" s="9"/>
      <c r="Q27" s="9"/>
    </row>
    <row r="28" spans="1:17" ht="39.6">
      <c r="A28" s="12" t="s">
        <v>44</v>
      </c>
      <c r="B28" s="1" t="s">
        <v>45</v>
      </c>
      <c r="C28" s="1"/>
      <c r="D28" s="1"/>
      <c r="E28" s="1"/>
      <c r="F28" s="1"/>
      <c r="G28" s="1"/>
      <c r="H28" s="3"/>
      <c r="I28" s="9"/>
      <c r="J28" s="9"/>
      <c r="K28" s="9"/>
      <c r="L28" s="9"/>
      <c r="M28" s="9"/>
      <c r="N28" s="9"/>
      <c r="O28" s="9"/>
      <c r="P28" s="9"/>
      <c r="Q28" s="9"/>
    </row>
    <row r="29" spans="1:17" ht="39.6">
      <c r="A29" s="13" t="s">
        <v>46</v>
      </c>
      <c r="B29" s="8" t="s">
        <v>47</v>
      </c>
      <c r="C29" s="8"/>
      <c r="D29" s="8"/>
      <c r="E29" s="8"/>
      <c r="F29" s="8"/>
      <c r="G29" s="8"/>
      <c r="H29" s="4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5">
    <mergeCell ref="A1:H2"/>
    <mergeCell ref="D4:H4"/>
    <mergeCell ref="D5:H10"/>
    <mergeCell ref="A12:H12"/>
    <mergeCell ref="A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"/>
  <sheetViews>
    <sheetView tabSelected="1" topLeftCell="K12" workbookViewId="0">
      <selection activeCell="O15" sqref="O15"/>
    </sheetView>
  </sheetViews>
  <sheetFormatPr defaultRowHeight="13.8"/>
  <cols>
    <col min="1" max="1" width="19" customWidth="1"/>
    <col min="2" max="2" width="24" customWidth="1"/>
    <col min="3" max="3" width="18" customWidth="1"/>
    <col min="4" max="4" width="28" customWidth="1"/>
    <col min="5" max="5" width="36" customWidth="1"/>
    <col min="6" max="6" width="28" customWidth="1"/>
    <col min="7" max="7" width="48" customWidth="1"/>
    <col min="8" max="8" width="34" customWidth="1"/>
    <col min="9" max="9" width="36" customWidth="1"/>
    <col min="10" max="11" width="30" customWidth="1"/>
    <col min="12" max="12" width="42" customWidth="1"/>
    <col min="13" max="13" width="48" customWidth="1"/>
    <col min="14" max="14" width="28" customWidth="1"/>
    <col min="15" max="15" width="34" customWidth="1"/>
    <col min="16" max="16" width="48" customWidth="1"/>
    <col min="17" max="17" width="12" customWidth="1"/>
  </cols>
  <sheetData>
    <row r="1" spans="1:17" ht="30.45" customHeight="1">
      <c r="A1" s="14" t="s">
        <v>48</v>
      </c>
      <c r="B1" s="19" t="s">
        <v>49</v>
      </c>
      <c r="C1" s="19" t="s">
        <v>50</v>
      </c>
      <c r="D1" s="19" t="s">
        <v>51</v>
      </c>
      <c r="E1" s="19" t="s">
        <v>52</v>
      </c>
      <c r="F1" s="19" t="s">
        <v>53</v>
      </c>
      <c r="G1" s="19" t="s">
        <v>54</v>
      </c>
      <c r="H1" s="19" t="s">
        <v>55</v>
      </c>
      <c r="I1" s="19" t="s">
        <v>56</v>
      </c>
      <c r="J1" s="19" t="s">
        <v>57</v>
      </c>
      <c r="K1" s="19" t="s">
        <v>58</v>
      </c>
      <c r="L1" s="19" t="s">
        <v>59</v>
      </c>
      <c r="M1" s="19" t="s">
        <v>60</v>
      </c>
      <c r="N1" s="19" t="s">
        <v>61</v>
      </c>
      <c r="O1" s="19" t="s">
        <v>62</v>
      </c>
      <c r="P1" s="19" t="s">
        <v>63</v>
      </c>
      <c r="Q1" s="15" t="s">
        <v>64</v>
      </c>
    </row>
    <row r="2" spans="1:17" ht="65.55" customHeight="1">
      <c r="A2" s="5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22</v>
      </c>
      <c r="O2" s="1" t="s">
        <v>78</v>
      </c>
      <c r="P2" s="1" t="s">
        <v>79</v>
      </c>
      <c r="Q2" s="3" t="s">
        <v>80</v>
      </c>
    </row>
    <row r="3" spans="1:17" ht="65.55" customHeight="1">
      <c r="A3" s="5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22</v>
      </c>
      <c r="O3" s="1" t="s">
        <v>94</v>
      </c>
      <c r="P3" s="1" t="s">
        <v>95</v>
      </c>
      <c r="Q3" s="3" t="s">
        <v>80</v>
      </c>
    </row>
    <row r="4" spans="1:17" ht="65.55" customHeight="1">
      <c r="A4" s="5" t="s">
        <v>96</v>
      </c>
      <c r="B4" s="1" t="s">
        <v>82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90</v>
      </c>
      <c r="K4" s="1" t="s">
        <v>91</v>
      </c>
      <c r="L4" s="1" t="s">
        <v>104</v>
      </c>
      <c r="M4" s="1" t="s">
        <v>105</v>
      </c>
      <c r="N4" s="1" t="s">
        <v>26</v>
      </c>
      <c r="O4" s="1"/>
      <c r="P4" s="1" t="s">
        <v>106</v>
      </c>
      <c r="Q4" s="3" t="s">
        <v>80</v>
      </c>
    </row>
    <row r="5" spans="1:17" ht="65.55" customHeight="1">
      <c r="A5" s="5" t="s">
        <v>107</v>
      </c>
      <c r="B5" s="1" t="s">
        <v>82</v>
      </c>
      <c r="C5" s="1" t="s">
        <v>97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102</v>
      </c>
      <c r="I5" s="1" t="s">
        <v>103</v>
      </c>
      <c r="J5" s="1" t="s">
        <v>90</v>
      </c>
      <c r="K5" s="1" t="s">
        <v>91</v>
      </c>
      <c r="L5" s="1" t="s">
        <v>112</v>
      </c>
      <c r="M5" s="1" t="s">
        <v>113</v>
      </c>
      <c r="N5" s="1" t="s">
        <v>24</v>
      </c>
      <c r="O5" s="1"/>
      <c r="P5" s="1" t="s">
        <v>114</v>
      </c>
      <c r="Q5" s="3" t="s">
        <v>80</v>
      </c>
    </row>
    <row r="6" spans="1:17" ht="65.55" customHeight="1">
      <c r="A6" s="5" t="s">
        <v>115</v>
      </c>
      <c r="B6" s="1" t="s">
        <v>82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88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22</v>
      </c>
      <c r="O6" s="1" t="s">
        <v>126</v>
      </c>
      <c r="P6" s="1" t="s">
        <v>127</v>
      </c>
      <c r="Q6" s="3" t="s">
        <v>80</v>
      </c>
    </row>
    <row r="7" spans="1:17" ht="65.55" customHeight="1">
      <c r="A7" s="5" t="s">
        <v>128</v>
      </c>
      <c r="B7" s="1" t="s">
        <v>82</v>
      </c>
      <c r="C7" s="1" t="s">
        <v>116</v>
      </c>
      <c r="D7" s="1" t="s">
        <v>129</v>
      </c>
      <c r="E7" s="1" t="s">
        <v>130</v>
      </c>
      <c r="F7" s="1" t="s">
        <v>131</v>
      </c>
      <c r="G7" s="1" t="s">
        <v>132</v>
      </c>
      <c r="H7" s="1" t="s">
        <v>88</v>
      </c>
      <c r="I7" s="1" t="s">
        <v>121</v>
      </c>
      <c r="J7" s="1" t="s">
        <v>90</v>
      </c>
      <c r="K7" s="1" t="s">
        <v>91</v>
      </c>
      <c r="L7" s="1" t="s">
        <v>133</v>
      </c>
      <c r="M7" s="1" t="s">
        <v>134</v>
      </c>
      <c r="N7" s="1" t="s">
        <v>26</v>
      </c>
      <c r="O7" s="1"/>
      <c r="P7" s="1" t="s">
        <v>135</v>
      </c>
      <c r="Q7" s="3" t="s">
        <v>80</v>
      </c>
    </row>
    <row r="8" spans="1:17" ht="65.55" customHeight="1">
      <c r="A8" s="5" t="s">
        <v>136</v>
      </c>
      <c r="B8" s="1" t="s">
        <v>82</v>
      </c>
      <c r="C8" s="1" t="s">
        <v>116</v>
      </c>
      <c r="D8" s="1" t="s">
        <v>137</v>
      </c>
      <c r="E8" s="1" t="s">
        <v>138</v>
      </c>
      <c r="F8" s="1" t="s">
        <v>139</v>
      </c>
      <c r="G8" s="1" t="s">
        <v>140</v>
      </c>
      <c r="H8" s="1" t="s">
        <v>88</v>
      </c>
      <c r="I8" s="1" t="s">
        <v>141</v>
      </c>
      <c r="J8" s="1" t="s">
        <v>90</v>
      </c>
      <c r="K8" s="1" t="s">
        <v>91</v>
      </c>
      <c r="L8" s="1" t="s">
        <v>142</v>
      </c>
      <c r="M8" s="1" t="s">
        <v>143</v>
      </c>
      <c r="N8" s="1" t="s">
        <v>26</v>
      </c>
      <c r="O8" s="1"/>
      <c r="P8" s="1" t="s">
        <v>144</v>
      </c>
      <c r="Q8" s="3" t="s">
        <v>80</v>
      </c>
    </row>
    <row r="9" spans="1:17" ht="65.55" customHeight="1">
      <c r="A9" s="5" t="s">
        <v>145</v>
      </c>
      <c r="B9" s="1" t="s">
        <v>82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121</v>
      </c>
      <c r="J9" s="1" t="s">
        <v>90</v>
      </c>
      <c r="K9" s="1" t="s">
        <v>91</v>
      </c>
      <c r="L9" s="1" t="s">
        <v>152</v>
      </c>
      <c r="M9" s="1" t="s">
        <v>153</v>
      </c>
      <c r="N9" s="1" t="s">
        <v>22</v>
      </c>
      <c r="O9" s="1" t="s">
        <v>154</v>
      </c>
      <c r="P9" s="1" t="s">
        <v>155</v>
      </c>
      <c r="Q9" s="3" t="s">
        <v>80</v>
      </c>
    </row>
    <row r="10" spans="1:17" ht="65.55" customHeight="1">
      <c r="A10" s="5" t="s">
        <v>156</v>
      </c>
      <c r="B10" s="1" t="s">
        <v>82</v>
      </c>
      <c r="C10" s="1" t="s">
        <v>146</v>
      </c>
      <c r="D10" s="1" t="s">
        <v>157</v>
      </c>
      <c r="E10" s="1" t="s">
        <v>158</v>
      </c>
      <c r="F10" s="1" t="s">
        <v>159</v>
      </c>
      <c r="G10" s="1" t="s">
        <v>160</v>
      </c>
      <c r="H10" s="1" t="s">
        <v>161</v>
      </c>
      <c r="I10" s="1" t="s">
        <v>141</v>
      </c>
      <c r="J10" s="1" t="s">
        <v>90</v>
      </c>
      <c r="K10" s="1" t="s">
        <v>91</v>
      </c>
      <c r="L10" s="1" t="s">
        <v>162</v>
      </c>
      <c r="M10" s="1" t="s">
        <v>163</v>
      </c>
      <c r="N10" s="1" t="s">
        <v>26</v>
      </c>
      <c r="O10" s="1"/>
      <c r="P10" s="1" t="s">
        <v>164</v>
      </c>
      <c r="Q10" s="3" t="s">
        <v>80</v>
      </c>
    </row>
    <row r="11" spans="1:17" ht="65.55" customHeight="1">
      <c r="A11" s="5" t="s">
        <v>165</v>
      </c>
      <c r="B11" s="1" t="s">
        <v>82</v>
      </c>
      <c r="C11" s="1" t="s">
        <v>146</v>
      </c>
      <c r="D11" s="1" t="s">
        <v>166</v>
      </c>
      <c r="E11" s="1" t="s">
        <v>167</v>
      </c>
      <c r="F11" s="1" t="s">
        <v>159</v>
      </c>
      <c r="G11" s="1" t="s">
        <v>168</v>
      </c>
      <c r="H11" s="1" t="s">
        <v>169</v>
      </c>
      <c r="I11" s="1" t="s">
        <v>141</v>
      </c>
      <c r="J11" s="1" t="s">
        <v>90</v>
      </c>
      <c r="K11" s="1" t="s">
        <v>91</v>
      </c>
      <c r="L11" s="1" t="s">
        <v>170</v>
      </c>
      <c r="M11" s="1" t="s">
        <v>171</v>
      </c>
      <c r="N11" s="1" t="s">
        <v>26</v>
      </c>
      <c r="O11" s="1"/>
      <c r="P11" s="1" t="s">
        <v>172</v>
      </c>
      <c r="Q11" s="3" t="s">
        <v>80</v>
      </c>
    </row>
    <row r="12" spans="1:17" ht="65.55" customHeight="1">
      <c r="A12" s="5" t="s">
        <v>173</v>
      </c>
      <c r="B12" s="1" t="s">
        <v>82</v>
      </c>
      <c r="C12" s="1" t="s">
        <v>174</v>
      </c>
      <c r="D12" s="1" t="s">
        <v>175</v>
      </c>
      <c r="E12" s="1" t="s">
        <v>176</v>
      </c>
      <c r="F12" s="1" t="s">
        <v>177</v>
      </c>
      <c r="G12" s="1" t="s">
        <v>178</v>
      </c>
      <c r="H12" s="1" t="s">
        <v>179</v>
      </c>
      <c r="I12" s="1" t="s">
        <v>180</v>
      </c>
      <c r="J12" s="1" t="s">
        <v>181</v>
      </c>
      <c r="K12" s="1" t="s">
        <v>182</v>
      </c>
      <c r="L12" s="1" t="s">
        <v>183</v>
      </c>
      <c r="M12" s="1" t="s">
        <v>184</v>
      </c>
      <c r="N12" s="1" t="s">
        <v>22</v>
      </c>
      <c r="O12" s="1" t="s">
        <v>185</v>
      </c>
      <c r="P12" s="1" t="s">
        <v>186</v>
      </c>
      <c r="Q12" s="3" t="s">
        <v>80</v>
      </c>
    </row>
    <row r="13" spans="1:17" ht="65.55" customHeight="1">
      <c r="A13" s="5" t="s">
        <v>187</v>
      </c>
      <c r="B13" s="1" t="s">
        <v>82</v>
      </c>
      <c r="C13" s="1" t="s">
        <v>188</v>
      </c>
      <c r="D13" s="1" t="s">
        <v>189</v>
      </c>
      <c r="E13" s="1" t="s">
        <v>190</v>
      </c>
      <c r="F13" s="1" t="s">
        <v>191</v>
      </c>
      <c r="G13" s="1" t="s">
        <v>192</v>
      </c>
      <c r="H13" s="1" t="s">
        <v>193</v>
      </c>
      <c r="I13" s="1" t="s">
        <v>141</v>
      </c>
      <c r="J13" s="1" t="s">
        <v>194</v>
      </c>
      <c r="K13" s="1" t="s">
        <v>195</v>
      </c>
      <c r="L13" s="1" t="s">
        <v>196</v>
      </c>
      <c r="M13" s="1" t="s">
        <v>197</v>
      </c>
      <c r="N13" s="1" t="s">
        <v>26</v>
      </c>
      <c r="O13" s="1"/>
      <c r="P13" s="1" t="s">
        <v>198</v>
      </c>
      <c r="Q13" s="3" t="s">
        <v>80</v>
      </c>
    </row>
    <row r="14" spans="1:17" ht="65.55" customHeight="1">
      <c r="A14" s="5" t="s">
        <v>199</v>
      </c>
      <c r="B14" s="1" t="s">
        <v>200</v>
      </c>
      <c r="C14" s="1" t="s">
        <v>97</v>
      </c>
      <c r="D14" s="1" t="s">
        <v>201</v>
      </c>
      <c r="E14" s="1" t="s">
        <v>202</v>
      </c>
      <c r="F14" s="1" t="s">
        <v>203</v>
      </c>
      <c r="G14" s="1" t="s">
        <v>204</v>
      </c>
      <c r="H14" s="1" t="s">
        <v>205</v>
      </c>
      <c r="I14" s="1" t="s">
        <v>73</v>
      </c>
      <c r="J14" s="1" t="s">
        <v>90</v>
      </c>
      <c r="K14" s="1" t="s">
        <v>91</v>
      </c>
      <c r="L14" s="1" t="s">
        <v>206</v>
      </c>
      <c r="M14" s="1" t="s">
        <v>207</v>
      </c>
      <c r="N14" s="1" t="s">
        <v>26</v>
      </c>
      <c r="O14" s="1"/>
      <c r="P14" s="1" t="s">
        <v>208</v>
      </c>
      <c r="Q14" s="3" t="s">
        <v>80</v>
      </c>
    </row>
    <row r="15" spans="1:17" ht="65.55" customHeight="1">
      <c r="A15" s="5" t="s">
        <v>209</v>
      </c>
      <c r="B15" s="1" t="s">
        <v>200</v>
      </c>
      <c r="C15" s="1" t="s">
        <v>210</v>
      </c>
      <c r="D15" s="1" t="s">
        <v>211</v>
      </c>
      <c r="E15" s="1" t="s">
        <v>212</v>
      </c>
      <c r="F15" s="1" t="s">
        <v>213</v>
      </c>
      <c r="G15" s="1" t="s">
        <v>214</v>
      </c>
      <c r="H15" s="1" t="s">
        <v>215</v>
      </c>
      <c r="I15" s="1" t="s">
        <v>73</v>
      </c>
      <c r="J15" s="1" t="s">
        <v>90</v>
      </c>
      <c r="K15" s="1" t="s">
        <v>91</v>
      </c>
      <c r="L15" s="1" t="s">
        <v>216</v>
      </c>
      <c r="M15" s="1" t="s">
        <v>217</v>
      </c>
      <c r="N15" s="1" t="s">
        <v>22</v>
      </c>
      <c r="O15" s="1"/>
      <c r="P15" s="1" t="s">
        <v>218</v>
      </c>
      <c r="Q15" s="3" t="s">
        <v>80</v>
      </c>
    </row>
    <row r="16" spans="1:17" ht="65.55" customHeight="1">
      <c r="A16" s="5" t="s">
        <v>219</v>
      </c>
      <c r="B16" s="1" t="s">
        <v>200</v>
      </c>
      <c r="C16" s="1" t="s">
        <v>210</v>
      </c>
      <c r="D16" s="1" t="s">
        <v>220</v>
      </c>
      <c r="E16" s="1" t="s">
        <v>221</v>
      </c>
      <c r="F16" s="1" t="s">
        <v>222</v>
      </c>
      <c r="G16" s="1" t="s">
        <v>223</v>
      </c>
      <c r="H16" s="1" t="s">
        <v>215</v>
      </c>
      <c r="I16" s="1" t="s">
        <v>73</v>
      </c>
      <c r="J16" s="1" t="s">
        <v>90</v>
      </c>
      <c r="K16" s="1" t="s">
        <v>91</v>
      </c>
      <c r="L16" s="1" t="s">
        <v>224</v>
      </c>
      <c r="M16" s="1" t="s">
        <v>225</v>
      </c>
      <c r="N16" s="31" t="s">
        <v>579</v>
      </c>
      <c r="O16" s="31" t="s">
        <v>579</v>
      </c>
      <c r="P16" s="31" t="s">
        <v>580</v>
      </c>
      <c r="Q16" s="3" t="s">
        <v>80</v>
      </c>
    </row>
    <row r="17" spans="1:17" ht="65.55" customHeight="1">
      <c r="A17" s="6" t="s">
        <v>226</v>
      </c>
      <c r="B17" s="8" t="s">
        <v>227</v>
      </c>
      <c r="C17" s="8" t="s">
        <v>228</v>
      </c>
      <c r="D17" s="8" t="s">
        <v>229</v>
      </c>
      <c r="E17" s="8" t="s">
        <v>230</v>
      </c>
      <c r="F17" s="8" t="s">
        <v>231</v>
      </c>
      <c r="G17" s="8" t="s">
        <v>232</v>
      </c>
      <c r="H17" s="8" t="s">
        <v>233</v>
      </c>
      <c r="I17" s="8" t="s">
        <v>73</v>
      </c>
      <c r="J17" s="8" t="s">
        <v>90</v>
      </c>
      <c r="K17" s="8" t="s">
        <v>91</v>
      </c>
      <c r="L17" s="8" t="s">
        <v>234</v>
      </c>
      <c r="M17" s="8" t="s">
        <v>235</v>
      </c>
      <c r="N17" s="8" t="s">
        <v>22</v>
      </c>
      <c r="O17" s="8" t="s">
        <v>236</v>
      </c>
      <c r="P17" s="8" t="s">
        <v>237</v>
      </c>
      <c r="Q17" s="4" t="s">
        <v>80</v>
      </c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conditionalFormatting sqref="N2:N17">
    <cfRule type="expression" dxfId="21" priority="5">
      <formula>N2="Validated"</formula>
    </cfRule>
    <cfRule type="expression" dxfId="20" priority="6">
      <formula>N2="Implemented – Evidence Pending"</formula>
    </cfRule>
    <cfRule type="expression" dxfId="19" priority="7">
      <formula>N2="Planned"</formula>
    </cfRule>
    <cfRule type="expression" dxfId="18" priority="8">
      <formula>N2="Blocked"</formula>
    </cfRule>
  </conditionalFormatting>
  <conditionalFormatting sqref="O16">
    <cfRule type="expression" dxfId="13" priority="1">
      <formula>O16="Validated"</formula>
    </cfRule>
    <cfRule type="expression" dxfId="12" priority="2">
      <formula>O16="Implemented – Evidence Pending"</formula>
    </cfRule>
    <cfRule type="expression" dxfId="11" priority="3">
      <formula>O16="Planned"</formula>
    </cfRule>
    <cfRule type="expression" dxfId="10" priority="4">
      <formula>O16="Blocked"</formula>
    </cfRule>
  </conditionalFormatting>
  <dataValidations count="2">
    <dataValidation type="list" sqref="N2:N17 O16" xr:uid="{00000000-0002-0000-0100-000000000000}">
      <formula1>"Validated,Implemented – Evidence Pending,Planned,Blocked,Deprecated"</formula1>
    </dataValidation>
    <dataValidation type="list" sqref="Q2:Q17" xr:uid="{00000000-0002-0000-0100-000001000000}">
      <formula1>"Emre,Developer,Marketing,Analytics,TBD"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0"/>
  <sheetViews>
    <sheetView topLeftCell="A4" workbookViewId="0">
      <selection activeCell="I10" sqref="I10"/>
    </sheetView>
  </sheetViews>
  <sheetFormatPr defaultRowHeight="13.8"/>
  <cols>
    <col min="1" max="1" width="23" customWidth="1"/>
    <col min="2" max="2" width="32" customWidth="1"/>
    <col min="3" max="3" width="28" customWidth="1"/>
    <col min="4" max="4" width="40" customWidth="1"/>
    <col min="5" max="5" width="32" customWidth="1"/>
    <col min="6" max="6" width="46" customWidth="1"/>
    <col min="7" max="7" width="28" customWidth="1"/>
    <col min="8" max="8" width="45" customWidth="1"/>
  </cols>
  <sheetData>
    <row r="1" spans="1:17">
      <c r="A1" s="14" t="s">
        <v>238</v>
      </c>
      <c r="B1" s="19" t="s">
        <v>239</v>
      </c>
      <c r="C1" s="19" t="s">
        <v>240</v>
      </c>
      <c r="D1" s="19" t="s">
        <v>241</v>
      </c>
      <c r="E1" s="19" t="s">
        <v>242</v>
      </c>
      <c r="F1" s="19" t="s">
        <v>59</v>
      </c>
      <c r="G1" s="19" t="s">
        <v>18</v>
      </c>
      <c r="H1" s="15" t="s">
        <v>243</v>
      </c>
      <c r="I1" s="9"/>
      <c r="J1" s="9"/>
      <c r="K1" s="9"/>
      <c r="L1" s="9"/>
      <c r="M1" s="9"/>
      <c r="N1" s="9"/>
      <c r="O1" s="9"/>
      <c r="P1" s="9"/>
      <c r="Q1" s="9"/>
    </row>
    <row r="2" spans="1:17" ht="55.95" customHeight="1">
      <c r="A2" s="5" t="s">
        <v>244</v>
      </c>
      <c r="B2" s="1" t="s">
        <v>245</v>
      </c>
      <c r="C2" s="1" t="s">
        <v>246</v>
      </c>
      <c r="D2" s="1" t="s">
        <v>247</v>
      </c>
      <c r="E2" s="1" t="s">
        <v>248</v>
      </c>
      <c r="F2" s="1" t="s">
        <v>249</v>
      </c>
      <c r="G2" s="1" t="s">
        <v>22</v>
      </c>
      <c r="H2" s="3" t="s">
        <v>250</v>
      </c>
      <c r="I2" s="9"/>
      <c r="J2" s="9"/>
      <c r="K2" s="9"/>
      <c r="L2" s="9"/>
      <c r="M2" s="9"/>
      <c r="N2" s="9"/>
      <c r="O2" s="9"/>
      <c r="P2" s="9"/>
      <c r="Q2" s="9"/>
    </row>
    <row r="3" spans="1:17" ht="55.95" customHeight="1">
      <c r="A3" s="5" t="s">
        <v>251</v>
      </c>
      <c r="B3" s="1" t="s">
        <v>252</v>
      </c>
      <c r="C3" s="1" t="s">
        <v>253</v>
      </c>
      <c r="D3" s="1" t="s">
        <v>254</v>
      </c>
      <c r="E3" s="1" t="s">
        <v>255</v>
      </c>
      <c r="F3" s="1" t="s">
        <v>256</v>
      </c>
      <c r="G3" s="1" t="s">
        <v>22</v>
      </c>
      <c r="H3" s="3" t="s">
        <v>257</v>
      </c>
      <c r="I3" s="9"/>
      <c r="J3" s="9"/>
      <c r="K3" s="9"/>
      <c r="L3" s="9"/>
      <c r="M3" s="9"/>
      <c r="N3" s="9"/>
      <c r="O3" s="9"/>
      <c r="P3" s="9"/>
      <c r="Q3" s="9"/>
    </row>
    <row r="4" spans="1:17" ht="55.95" customHeight="1">
      <c r="A4" s="5" t="s">
        <v>258</v>
      </c>
      <c r="B4" s="1" t="s">
        <v>259</v>
      </c>
      <c r="C4" s="1" t="s">
        <v>253</v>
      </c>
      <c r="D4" s="1" t="s">
        <v>260</v>
      </c>
      <c r="E4" s="1" t="s">
        <v>255</v>
      </c>
      <c r="F4" s="1" t="s">
        <v>261</v>
      </c>
      <c r="G4" s="1" t="s">
        <v>22</v>
      </c>
      <c r="H4" s="3"/>
      <c r="I4" s="9"/>
      <c r="J4" s="9"/>
      <c r="K4" s="9"/>
      <c r="L4" s="9"/>
      <c r="M4" s="9"/>
      <c r="N4" s="9"/>
      <c r="O4" s="9"/>
      <c r="P4" s="9"/>
      <c r="Q4" s="9"/>
    </row>
    <row r="5" spans="1:17" ht="55.95" customHeight="1">
      <c r="A5" s="5" t="s">
        <v>262</v>
      </c>
      <c r="B5" s="1" t="s">
        <v>263</v>
      </c>
      <c r="C5" s="1" t="s">
        <v>253</v>
      </c>
      <c r="D5" s="1" t="s">
        <v>264</v>
      </c>
      <c r="E5" s="1" t="s">
        <v>265</v>
      </c>
      <c r="F5" s="1" t="s">
        <v>266</v>
      </c>
      <c r="G5" s="1" t="s">
        <v>22</v>
      </c>
      <c r="H5" s="3"/>
      <c r="I5" s="9"/>
      <c r="J5" s="9"/>
      <c r="K5" s="9"/>
      <c r="L5" s="9"/>
      <c r="M5" s="9"/>
      <c r="N5" s="9"/>
      <c r="O5" s="9"/>
      <c r="P5" s="9"/>
      <c r="Q5" s="9"/>
    </row>
    <row r="6" spans="1:17" ht="55.95" customHeight="1">
      <c r="A6" s="5" t="s">
        <v>267</v>
      </c>
      <c r="B6" s="1" t="s">
        <v>268</v>
      </c>
      <c r="C6" s="1" t="s">
        <v>253</v>
      </c>
      <c r="D6" s="1" t="s">
        <v>264</v>
      </c>
      <c r="E6" s="1" t="s">
        <v>265</v>
      </c>
      <c r="F6" s="1" t="s">
        <v>266</v>
      </c>
      <c r="G6" s="1" t="s">
        <v>22</v>
      </c>
      <c r="H6" s="3"/>
      <c r="I6" s="9"/>
      <c r="J6" s="9"/>
      <c r="K6" s="9"/>
      <c r="L6" s="9"/>
      <c r="M6" s="9"/>
      <c r="N6" s="9"/>
      <c r="O6" s="9"/>
      <c r="P6" s="9"/>
      <c r="Q6" s="9"/>
    </row>
    <row r="7" spans="1:17" ht="55.95" customHeight="1">
      <c r="A7" s="5" t="s">
        <v>269</v>
      </c>
      <c r="B7" s="1" t="s">
        <v>270</v>
      </c>
      <c r="C7" s="1" t="s">
        <v>271</v>
      </c>
      <c r="D7" s="1" t="s">
        <v>272</v>
      </c>
      <c r="E7" s="1" t="s">
        <v>273</v>
      </c>
      <c r="F7" s="1" t="s">
        <v>274</v>
      </c>
      <c r="G7" s="1" t="s">
        <v>22</v>
      </c>
      <c r="H7" s="3" t="s">
        <v>275</v>
      </c>
      <c r="I7" s="9"/>
      <c r="J7" s="9"/>
      <c r="K7" s="9"/>
      <c r="L7" s="9"/>
      <c r="M7" s="9"/>
      <c r="N7" s="9"/>
      <c r="O7" s="9"/>
      <c r="P7" s="9"/>
      <c r="Q7" s="9"/>
    </row>
    <row r="8" spans="1:17" ht="55.95" customHeight="1">
      <c r="A8" s="5" t="s">
        <v>276</v>
      </c>
      <c r="B8" s="1" t="s">
        <v>277</v>
      </c>
      <c r="C8" s="1" t="s">
        <v>271</v>
      </c>
      <c r="D8" s="1" t="s">
        <v>278</v>
      </c>
      <c r="E8" s="1" t="s">
        <v>273</v>
      </c>
      <c r="F8" s="1" t="s">
        <v>279</v>
      </c>
      <c r="G8" s="1" t="s">
        <v>22</v>
      </c>
      <c r="H8" s="3" t="s">
        <v>280</v>
      </c>
      <c r="I8" s="9"/>
      <c r="J8" s="9"/>
      <c r="K8" s="9"/>
      <c r="L8" s="9"/>
      <c r="M8" s="9"/>
      <c r="N8" s="9"/>
      <c r="O8" s="9"/>
      <c r="P8" s="9"/>
      <c r="Q8" s="9"/>
    </row>
    <row r="9" spans="1:17" ht="55.95" customHeight="1">
      <c r="A9" s="5" t="s">
        <v>281</v>
      </c>
      <c r="B9" s="1" t="s">
        <v>282</v>
      </c>
      <c r="C9" s="1" t="s">
        <v>283</v>
      </c>
      <c r="D9" s="1" t="s">
        <v>284</v>
      </c>
      <c r="E9" s="1" t="s">
        <v>285</v>
      </c>
      <c r="F9" s="1" t="s">
        <v>286</v>
      </c>
      <c r="G9" s="1" t="s">
        <v>22</v>
      </c>
      <c r="H9" s="3" t="s">
        <v>287</v>
      </c>
      <c r="I9" s="9"/>
      <c r="J9" s="9"/>
      <c r="K9" s="9"/>
      <c r="L9" s="9"/>
      <c r="M9" s="9"/>
      <c r="N9" s="9"/>
      <c r="O9" s="9"/>
      <c r="P9" s="9"/>
      <c r="Q9" s="9"/>
    </row>
    <row r="10" spans="1:17" ht="55.95" customHeight="1">
      <c r="A10" s="5" t="s">
        <v>288</v>
      </c>
      <c r="B10" s="1" t="s">
        <v>289</v>
      </c>
      <c r="C10" s="1" t="s">
        <v>290</v>
      </c>
      <c r="D10" s="1" t="s">
        <v>291</v>
      </c>
      <c r="E10" s="1" t="s">
        <v>292</v>
      </c>
      <c r="F10" s="1" t="s">
        <v>293</v>
      </c>
      <c r="G10" s="1" t="s">
        <v>22</v>
      </c>
      <c r="H10" s="3" t="s">
        <v>294</v>
      </c>
      <c r="I10" s="9"/>
      <c r="J10" s="9"/>
      <c r="K10" s="9"/>
      <c r="L10" s="9"/>
      <c r="M10" s="9"/>
      <c r="N10" s="9"/>
      <c r="O10" s="9"/>
      <c r="P10" s="9"/>
      <c r="Q10" s="9"/>
    </row>
    <row r="11" spans="1:17" ht="55.95" customHeight="1">
      <c r="A11" s="6" t="s">
        <v>295</v>
      </c>
      <c r="B11" s="8" t="s">
        <v>296</v>
      </c>
      <c r="C11" s="8" t="s">
        <v>297</v>
      </c>
      <c r="D11" s="8" t="s">
        <v>298</v>
      </c>
      <c r="E11" s="8" t="s">
        <v>299</v>
      </c>
      <c r="F11" s="8" t="s">
        <v>300</v>
      </c>
      <c r="G11" s="8" t="s">
        <v>22</v>
      </c>
      <c r="H11" s="4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conditionalFormatting sqref="G2:G11">
    <cfRule type="expression" dxfId="9" priority="1">
      <formula>G2="Validated"</formula>
    </cfRule>
    <cfRule type="expression" dxfId="8" priority="2">
      <formula>G2="Implemented – Evidence Pending"</formula>
    </cfRule>
    <cfRule type="expression" dxfId="7" priority="3">
      <formula>G2="Planned"</formula>
    </cfRule>
  </conditionalFormatting>
  <dataValidations count="1">
    <dataValidation type="list" sqref="G2:G11" xr:uid="{00000000-0002-0000-0200-000000000000}">
      <formula1>"Validated,Implemented – Evidence Pending,Planned,Blocked"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"/>
  <sheetViews>
    <sheetView topLeftCell="D13" workbookViewId="0">
      <selection activeCell="G15" sqref="G15"/>
    </sheetView>
  </sheetViews>
  <sheetFormatPr defaultRowHeight="13.8"/>
  <cols>
    <col min="1" max="1" width="12" customWidth="1"/>
    <col min="2" max="2" width="18" customWidth="1"/>
    <col min="3" max="3" width="30" customWidth="1"/>
    <col min="4" max="4" width="34" customWidth="1"/>
    <col min="5" max="5" width="48" customWidth="1"/>
    <col min="6" max="7" width="28" customWidth="1"/>
    <col min="8" max="8" width="38" customWidth="1"/>
    <col min="9" max="9" width="18" customWidth="1"/>
    <col min="10" max="10" width="38" customWidth="1"/>
  </cols>
  <sheetData>
    <row r="1" spans="1:17">
      <c r="A1" s="14" t="s">
        <v>301</v>
      </c>
      <c r="B1" s="19" t="s">
        <v>302</v>
      </c>
      <c r="C1" s="19" t="s">
        <v>303</v>
      </c>
      <c r="D1" s="19" t="s">
        <v>304</v>
      </c>
      <c r="E1" s="19" t="s">
        <v>305</v>
      </c>
      <c r="F1" s="19" t="s">
        <v>306</v>
      </c>
      <c r="G1" s="19" t="s">
        <v>18</v>
      </c>
      <c r="H1" s="19" t="s">
        <v>307</v>
      </c>
      <c r="I1" s="19" t="s">
        <v>308</v>
      </c>
      <c r="J1" s="15" t="s">
        <v>309</v>
      </c>
      <c r="K1" s="9"/>
      <c r="L1" s="9"/>
      <c r="M1" s="9"/>
      <c r="N1" s="9"/>
      <c r="O1" s="9"/>
      <c r="P1" s="9"/>
      <c r="Q1" s="9"/>
    </row>
    <row r="2" spans="1:17" ht="57.6" customHeight="1">
      <c r="A2" s="5" t="s">
        <v>310</v>
      </c>
      <c r="B2" s="1" t="s">
        <v>311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22</v>
      </c>
      <c r="H2" s="1" t="s">
        <v>316</v>
      </c>
      <c r="I2" s="1" t="s">
        <v>317</v>
      </c>
      <c r="J2" s="3"/>
      <c r="K2" s="9"/>
      <c r="L2" s="9"/>
      <c r="M2" s="9"/>
      <c r="N2" s="9"/>
      <c r="O2" s="9"/>
      <c r="P2" s="9"/>
      <c r="Q2" s="9"/>
    </row>
    <row r="3" spans="1:17" ht="57.6" customHeight="1">
      <c r="A3" s="5" t="s">
        <v>318</v>
      </c>
      <c r="B3" s="1" t="s">
        <v>311</v>
      </c>
      <c r="C3" s="1" t="s">
        <v>319</v>
      </c>
      <c r="D3" s="1" t="s">
        <v>320</v>
      </c>
      <c r="E3" s="1" t="s">
        <v>321</v>
      </c>
      <c r="F3" s="1" t="s">
        <v>315</v>
      </c>
      <c r="G3" s="1" t="s">
        <v>22</v>
      </c>
      <c r="H3" s="1" t="s">
        <v>322</v>
      </c>
      <c r="I3" s="1" t="s">
        <v>317</v>
      </c>
      <c r="J3" s="3"/>
      <c r="K3" s="9"/>
      <c r="L3" s="9"/>
      <c r="M3" s="9"/>
      <c r="N3" s="9"/>
      <c r="O3" s="9"/>
      <c r="P3" s="9"/>
      <c r="Q3" s="9"/>
    </row>
    <row r="4" spans="1:17" ht="57.6" customHeight="1">
      <c r="A4" s="5" t="s">
        <v>323</v>
      </c>
      <c r="B4" s="1" t="s">
        <v>311</v>
      </c>
      <c r="C4" s="1" t="s">
        <v>324</v>
      </c>
      <c r="D4" s="1" t="s">
        <v>320</v>
      </c>
      <c r="E4" s="1" t="s">
        <v>325</v>
      </c>
      <c r="F4" s="1" t="s">
        <v>315</v>
      </c>
      <c r="G4" s="1" t="s">
        <v>22</v>
      </c>
      <c r="H4" s="1" t="s">
        <v>326</v>
      </c>
      <c r="I4" s="1" t="s">
        <v>317</v>
      </c>
      <c r="J4" s="3"/>
      <c r="K4" s="9"/>
      <c r="L4" s="9"/>
      <c r="M4" s="9"/>
      <c r="N4" s="9"/>
      <c r="O4" s="9"/>
      <c r="P4" s="9"/>
      <c r="Q4" s="9"/>
    </row>
    <row r="5" spans="1:17" ht="57.6" customHeight="1">
      <c r="A5" s="5" t="s">
        <v>327</v>
      </c>
      <c r="B5" s="1" t="s">
        <v>311</v>
      </c>
      <c r="C5" s="1" t="s">
        <v>328</v>
      </c>
      <c r="D5" s="1" t="s">
        <v>329</v>
      </c>
      <c r="E5" s="1" t="s">
        <v>330</v>
      </c>
      <c r="F5" s="1" t="s">
        <v>331</v>
      </c>
      <c r="G5" s="1" t="s">
        <v>22</v>
      </c>
      <c r="H5" s="1" t="s">
        <v>332</v>
      </c>
      <c r="I5" s="1" t="s">
        <v>333</v>
      </c>
      <c r="J5" s="3"/>
      <c r="K5" s="9"/>
      <c r="L5" s="9"/>
      <c r="M5" s="9"/>
      <c r="N5" s="9"/>
      <c r="O5" s="9"/>
      <c r="P5" s="9"/>
      <c r="Q5" s="9"/>
    </row>
    <row r="6" spans="1:17" ht="57.6" customHeight="1">
      <c r="A6" s="5" t="s">
        <v>334</v>
      </c>
      <c r="B6" s="1" t="s">
        <v>335</v>
      </c>
      <c r="C6" s="1" t="s">
        <v>336</v>
      </c>
      <c r="D6" s="1" t="s">
        <v>337</v>
      </c>
      <c r="E6" s="1" t="s">
        <v>338</v>
      </c>
      <c r="F6" s="1" t="s">
        <v>339</v>
      </c>
      <c r="G6" s="1" t="s">
        <v>22</v>
      </c>
      <c r="H6" s="1" t="s">
        <v>340</v>
      </c>
      <c r="I6" s="1" t="s">
        <v>317</v>
      </c>
      <c r="J6" s="3"/>
      <c r="K6" s="9"/>
      <c r="L6" s="9"/>
      <c r="M6" s="9"/>
      <c r="N6" s="9"/>
      <c r="O6" s="9"/>
      <c r="P6" s="9"/>
      <c r="Q6" s="9"/>
    </row>
    <row r="7" spans="1:17" ht="57.6" customHeight="1">
      <c r="A7" s="5" t="s">
        <v>341</v>
      </c>
      <c r="B7" s="1" t="s">
        <v>342</v>
      </c>
      <c r="C7" s="1" t="s">
        <v>343</v>
      </c>
      <c r="D7" s="1" t="s">
        <v>344</v>
      </c>
      <c r="E7" s="1" t="s">
        <v>345</v>
      </c>
      <c r="F7" s="1" t="s">
        <v>346</v>
      </c>
      <c r="G7" s="1" t="s">
        <v>22</v>
      </c>
      <c r="H7" s="1" t="s">
        <v>94</v>
      </c>
      <c r="I7" s="1" t="s">
        <v>333</v>
      </c>
      <c r="J7" s="3"/>
      <c r="K7" s="9"/>
      <c r="L7" s="9"/>
      <c r="M7" s="9"/>
      <c r="N7" s="9"/>
      <c r="O7" s="9"/>
      <c r="P7" s="9"/>
      <c r="Q7" s="9"/>
    </row>
    <row r="8" spans="1:17" ht="57.6" customHeight="1">
      <c r="A8" s="5" t="s">
        <v>347</v>
      </c>
      <c r="B8" s="1" t="s">
        <v>342</v>
      </c>
      <c r="C8" s="1" t="s">
        <v>348</v>
      </c>
      <c r="D8" s="1" t="s">
        <v>349</v>
      </c>
      <c r="E8" s="1" t="s">
        <v>350</v>
      </c>
      <c r="F8" s="1" t="s">
        <v>346</v>
      </c>
      <c r="G8" s="1" t="s">
        <v>22</v>
      </c>
      <c r="H8" s="1" t="s">
        <v>351</v>
      </c>
      <c r="I8" s="1" t="s">
        <v>317</v>
      </c>
      <c r="J8" s="3" t="s">
        <v>352</v>
      </c>
      <c r="K8" s="9"/>
      <c r="L8" s="9"/>
      <c r="M8" s="9"/>
      <c r="N8" s="9"/>
      <c r="O8" s="9"/>
      <c r="P8" s="9"/>
      <c r="Q8" s="9"/>
    </row>
    <row r="9" spans="1:17" ht="57.6" customHeight="1">
      <c r="A9" s="5" t="s">
        <v>353</v>
      </c>
      <c r="B9" s="1" t="s">
        <v>342</v>
      </c>
      <c r="C9" s="1" t="s">
        <v>354</v>
      </c>
      <c r="D9" s="1" t="s">
        <v>355</v>
      </c>
      <c r="E9" s="1" t="s">
        <v>350</v>
      </c>
      <c r="F9" s="1" t="s">
        <v>346</v>
      </c>
      <c r="G9" s="1" t="s">
        <v>22</v>
      </c>
      <c r="H9" s="1" t="s">
        <v>356</v>
      </c>
      <c r="I9" s="1" t="s">
        <v>317</v>
      </c>
      <c r="J9" s="3" t="s">
        <v>357</v>
      </c>
      <c r="K9" s="9"/>
      <c r="L9" s="9"/>
      <c r="M9" s="9"/>
      <c r="N9" s="9"/>
      <c r="O9" s="9"/>
      <c r="P9" s="9"/>
      <c r="Q9" s="9"/>
    </row>
    <row r="10" spans="1:17" ht="57.6" customHeight="1">
      <c r="A10" s="5" t="s">
        <v>358</v>
      </c>
      <c r="B10" s="1" t="s">
        <v>342</v>
      </c>
      <c r="C10" s="1" t="s">
        <v>359</v>
      </c>
      <c r="D10" s="1" t="s">
        <v>360</v>
      </c>
      <c r="E10" s="1" t="s">
        <v>361</v>
      </c>
      <c r="F10" s="1" t="s">
        <v>346</v>
      </c>
      <c r="G10" s="1" t="s">
        <v>22</v>
      </c>
      <c r="H10" s="1" t="s">
        <v>362</v>
      </c>
      <c r="I10" s="1" t="s">
        <v>317</v>
      </c>
      <c r="J10" s="3"/>
      <c r="K10" s="9"/>
      <c r="L10" s="9"/>
      <c r="M10" s="9"/>
      <c r="N10" s="9"/>
      <c r="O10" s="9"/>
      <c r="P10" s="9"/>
      <c r="Q10" s="9"/>
    </row>
    <row r="11" spans="1:17" ht="57.6" customHeight="1">
      <c r="A11" s="5" t="s">
        <v>363</v>
      </c>
      <c r="B11" s="1" t="s">
        <v>342</v>
      </c>
      <c r="C11" s="1" t="s">
        <v>364</v>
      </c>
      <c r="D11" s="1" t="s">
        <v>365</v>
      </c>
      <c r="E11" s="1" t="s">
        <v>366</v>
      </c>
      <c r="F11" s="1" t="s">
        <v>346</v>
      </c>
      <c r="G11" s="1" t="s">
        <v>22</v>
      </c>
      <c r="H11" s="1" t="s">
        <v>367</v>
      </c>
      <c r="I11" s="1" t="s">
        <v>317</v>
      </c>
      <c r="J11" s="3"/>
      <c r="K11" s="9"/>
      <c r="L11" s="9"/>
      <c r="M11" s="9"/>
      <c r="N11" s="9"/>
      <c r="O11" s="9"/>
      <c r="P11" s="9"/>
      <c r="Q11" s="9"/>
    </row>
    <row r="12" spans="1:17" ht="57.6" customHeight="1">
      <c r="A12" s="5" t="s">
        <v>368</v>
      </c>
      <c r="B12" s="1" t="s">
        <v>342</v>
      </c>
      <c r="C12" s="1" t="s">
        <v>369</v>
      </c>
      <c r="D12" s="1" t="s">
        <v>370</v>
      </c>
      <c r="E12" s="1" t="s">
        <v>371</v>
      </c>
      <c r="F12" s="1" t="s">
        <v>372</v>
      </c>
      <c r="G12" s="1" t="s">
        <v>22</v>
      </c>
      <c r="H12" s="1"/>
      <c r="I12" s="1" t="s">
        <v>317</v>
      </c>
      <c r="J12" s="3" t="s">
        <v>373</v>
      </c>
      <c r="K12" s="9"/>
      <c r="L12" s="9"/>
      <c r="M12" s="9"/>
      <c r="N12" s="9"/>
      <c r="O12" s="9"/>
      <c r="P12" s="9"/>
      <c r="Q12" s="9"/>
    </row>
    <row r="13" spans="1:17" ht="57.6" customHeight="1">
      <c r="A13" s="5" t="s">
        <v>374</v>
      </c>
      <c r="B13" s="1" t="s">
        <v>375</v>
      </c>
      <c r="C13" s="1" t="s">
        <v>376</v>
      </c>
      <c r="D13" s="1" t="s">
        <v>377</v>
      </c>
      <c r="E13" s="1" t="s">
        <v>378</v>
      </c>
      <c r="F13" s="1" t="s">
        <v>346</v>
      </c>
      <c r="G13" s="1" t="s">
        <v>22</v>
      </c>
      <c r="H13" s="1" t="s">
        <v>236</v>
      </c>
      <c r="I13" s="1" t="s">
        <v>379</v>
      </c>
      <c r="J13" s="3"/>
      <c r="K13" s="9"/>
      <c r="L13" s="9"/>
      <c r="M13" s="9"/>
      <c r="N13" s="9"/>
      <c r="O13" s="9"/>
      <c r="P13" s="9"/>
      <c r="Q13" s="9"/>
    </row>
    <row r="14" spans="1:17" ht="57.6" customHeight="1">
      <c r="A14" s="5" t="s">
        <v>380</v>
      </c>
      <c r="B14" s="1" t="s">
        <v>381</v>
      </c>
      <c r="C14" s="1" t="s">
        <v>382</v>
      </c>
      <c r="D14" s="1" t="s">
        <v>383</v>
      </c>
      <c r="E14" s="1" t="s">
        <v>384</v>
      </c>
      <c r="F14" s="1" t="s">
        <v>346</v>
      </c>
      <c r="G14" s="1" t="s">
        <v>22</v>
      </c>
      <c r="H14" s="1"/>
      <c r="I14" s="1" t="s">
        <v>333</v>
      </c>
      <c r="J14" s="3"/>
      <c r="K14" s="9"/>
      <c r="L14" s="9"/>
      <c r="M14" s="9"/>
      <c r="N14" s="9"/>
      <c r="O14" s="9"/>
      <c r="P14" s="9"/>
      <c r="Q14" s="9"/>
    </row>
    <row r="15" spans="1:17" ht="57.6" customHeight="1">
      <c r="A15" s="5" t="s">
        <v>385</v>
      </c>
      <c r="B15" s="1" t="s">
        <v>381</v>
      </c>
      <c r="C15" s="1" t="s">
        <v>386</v>
      </c>
      <c r="D15" s="1" t="s">
        <v>387</v>
      </c>
      <c r="E15" s="1" t="s">
        <v>388</v>
      </c>
      <c r="F15" s="1" t="s">
        <v>346</v>
      </c>
      <c r="G15" s="1" t="s">
        <v>26</v>
      </c>
      <c r="H15" s="1"/>
      <c r="I15" s="1" t="s">
        <v>317</v>
      </c>
      <c r="J15" s="3"/>
      <c r="K15" s="9"/>
      <c r="L15" s="9"/>
      <c r="M15" s="9"/>
      <c r="N15" s="9"/>
      <c r="O15" s="9"/>
      <c r="P15" s="9"/>
      <c r="Q15" s="9"/>
    </row>
    <row r="16" spans="1:17" ht="57.6" customHeight="1">
      <c r="A16" s="5" t="s">
        <v>389</v>
      </c>
      <c r="B16" s="1" t="s">
        <v>390</v>
      </c>
      <c r="C16" s="1" t="s">
        <v>391</v>
      </c>
      <c r="D16" s="1" t="s">
        <v>392</v>
      </c>
      <c r="E16" s="1" t="s">
        <v>393</v>
      </c>
      <c r="F16" s="1" t="s">
        <v>394</v>
      </c>
      <c r="G16" s="1" t="s">
        <v>24</v>
      </c>
      <c r="H16" s="1"/>
      <c r="I16" s="1" t="s">
        <v>317</v>
      </c>
      <c r="J16" s="3"/>
      <c r="K16" s="9"/>
      <c r="L16" s="9"/>
      <c r="M16" s="9"/>
      <c r="N16" s="9"/>
      <c r="O16" s="9"/>
      <c r="P16" s="9"/>
      <c r="Q16" s="9"/>
    </row>
    <row r="17" spans="1:17" ht="57.6" customHeight="1">
      <c r="A17" s="5" t="s">
        <v>395</v>
      </c>
      <c r="B17" s="1" t="s">
        <v>396</v>
      </c>
      <c r="C17" s="1" t="s">
        <v>397</v>
      </c>
      <c r="D17" s="1" t="s">
        <v>398</v>
      </c>
      <c r="E17" s="1" t="s">
        <v>399</v>
      </c>
      <c r="F17" s="1" t="s">
        <v>400</v>
      </c>
      <c r="G17" s="1" t="s">
        <v>22</v>
      </c>
      <c r="H17" s="1"/>
      <c r="I17" s="1" t="s">
        <v>333</v>
      </c>
      <c r="J17" s="3"/>
      <c r="K17" s="9"/>
      <c r="L17" s="9"/>
      <c r="M17" s="9"/>
      <c r="N17" s="9"/>
      <c r="O17" s="9"/>
      <c r="P17" s="9"/>
      <c r="Q17" s="9"/>
    </row>
    <row r="18" spans="1:17" ht="57.6" customHeight="1">
      <c r="A18" s="6" t="s">
        <v>401</v>
      </c>
      <c r="B18" s="8" t="s">
        <v>402</v>
      </c>
      <c r="C18" s="8" t="s">
        <v>403</v>
      </c>
      <c r="D18" s="8" t="s">
        <v>404</v>
      </c>
      <c r="E18" s="8" t="s">
        <v>405</v>
      </c>
      <c r="F18" s="8" t="s">
        <v>406</v>
      </c>
      <c r="G18" s="8" t="s">
        <v>24</v>
      </c>
      <c r="H18" s="8" t="s">
        <v>407</v>
      </c>
      <c r="I18" s="8" t="s">
        <v>379</v>
      </c>
      <c r="J18" s="4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conditionalFormatting sqref="G2:G18">
    <cfRule type="expression" dxfId="6" priority="1">
      <formula>G2="Validated"</formula>
    </cfRule>
    <cfRule type="expression" dxfId="5" priority="2">
      <formula>G2="Implemented – Evidence Pending"</formula>
    </cfRule>
    <cfRule type="expression" dxfId="4" priority="3">
      <formula>G2="Planned"</formula>
    </cfRule>
    <cfRule type="expression" dxfId="3" priority="4">
      <formula>G2="Failed"</formula>
    </cfRule>
  </conditionalFormatting>
  <dataValidations count="2">
    <dataValidation type="list" sqref="G2:G18" xr:uid="{00000000-0002-0000-0300-000000000000}">
      <formula1>"Validated,Implemented – Evidence Pending,Planned,Failed,Blocked"</formula1>
    </dataValidation>
    <dataValidation type="list" sqref="I2:I18" xr:uid="{00000000-0002-0000-03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0"/>
  <sheetViews>
    <sheetView topLeftCell="A5" workbookViewId="0"/>
  </sheetViews>
  <sheetFormatPr defaultRowHeight="13.8"/>
  <cols>
    <col min="1" max="1" width="22" customWidth="1"/>
    <col min="2" max="2" width="18" customWidth="1"/>
    <col min="3" max="3" width="14" customWidth="1"/>
    <col min="4" max="4" width="28" customWidth="1"/>
    <col min="5" max="5" width="30" customWidth="1"/>
    <col min="6" max="6" width="42" customWidth="1"/>
    <col min="7" max="7" width="36" customWidth="1"/>
    <col min="8" max="8" width="14" customWidth="1"/>
    <col min="9" max="9" width="42" customWidth="1"/>
  </cols>
  <sheetData>
    <row r="1" spans="1:17">
      <c r="A1" s="14" t="s">
        <v>408</v>
      </c>
      <c r="B1" s="19" t="s">
        <v>409</v>
      </c>
      <c r="C1" s="19" t="s">
        <v>410</v>
      </c>
      <c r="D1" s="19" t="s">
        <v>411</v>
      </c>
      <c r="E1" s="19" t="s">
        <v>412</v>
      </c>
      <c r="F1" s="19" t="s">
        <v>413</v>
      </c>
      <c r="G1" s="19" t="s">
        <v>414</v>
      </c>
      <c r="H1" s="19" t="s">
        <v>415</v>
      </c>
      <c r="I1" s="15" t="s">
        <v>309</v>
      </c>
      <c r="J1" s="9"/>
      <c r="K1" s="9"/>
      <c r="L1" s="9"/>
      <c r="M1" s="9"/>
      <c r="N1" s="9"/>
      <c r="O1" s="9"/>
      <c r="P1" s="9"/>
      <c r="Q1" s="9"/>
    </row>
    <row r="2" spans="1:17" ht="48" customHeight="1">
      <c r="A2" s="5" t="s">
        <v>416</v>
      </c>
      <c r="B2" s="1" t="s">
        <v>417</v>
      </c>
      <c r="C2" s="1" t="s">
        <v>418</v>
      </c>
      <c r="D2" s="1" t="s">
        <v>419</v>
      </c>
      <c r="E2" s="1" t="s">
        <v>420</v>
      </c>
      <c r="F2" s="1" t="s">
        <v>421</v>
      </c>
      <c r="G2" s="1" t="s">
        <v>422</v>
      </c>
      <c r="H2" s="1" t="s">
        <v>423</v>
      </c>
      <c r="I2" s="3" t="s">
        <v>424</v>
      </c>
      <c r="J2" s="9"/>
      <c r="K2" s="9"/>
      <c r="L2" s="9"/>
      <c r="M2" s="9"/>
      <c r="N2" s="9"/>
      <c r="O2" s="9"/>
      <c r="P2" s="9"/>
      <c r="Q2" s="9"/>
    </row>
    <row r="3" spans="1:17" ht="48" customHeight="1">
      <c r="A3" s="5" t="s">
        <v>425</v>
      </c>
      <c r="B3" s="1" t="s">
        <v>417</v>
      </c>
      <c r="C3" s="1" t="s">
        <v>426</v>
      </c>
      <c r="D3" s="1" t="s">
        <v>427</v>
      </c>
      <c r="E3" s="1" t="s">
        <v>14</v>
      </c>
      <c r="F3" s="1" t="s">
        <v>428</v>
      </c>
      <c r="G3" s="1" t="s">
        <v>429</v>
      </c>
      <c r="H3" s="1" t="s">
        <v>423</v>
      </c>
      <c r="I3" s="3" t="s">
        <v>430</v>
      </c>
      <c r="J3" s="9"/>
      <c r="K3" s="9"/>
      <c r="L3" s="9"/>
      <c r="M3" s="9"/>
      <c r="N3" s="9"/>
      <c r="O3" s="9"/>
      <c r="P3" s="9"/>
      <c r="Q3" s="9"/>
    </row>
    <row r="4" spans="1:17" ht="48" customHeight="1">
      <c r="A4" s="5" t="s">
        <v>431</v>
      </c>
      <c r="B4" s="1" t="s">
        <v>417</v>
      </c>
      <c r="C4" s="1" t="s">
        <v>432</v>
      </c>
      <c r="D4" s="1" t="s">
        <v>433</v>
      </c>
      <c r="E4" s="1" t="s">
        <v>434</v>
      </c>
      <c r="F4" s="1" t="s">
        <v>435</v>
      </c>
      <c r="G4" s="1" t="s">
        <v>436</v>
      </c>
      <c r="H4" s="1" t="s">
        <v>423</v>
      </c>
      <c r="I4" s="3" t="s">
        <v>437</v>
      </c>
      <c r="J4" s="9"/>
      <c r="K4" s="9"/>
      <c r="L4" s="9"/>
      <c r="M4" s="9"/>
      <c r="N4" s="9"/>
      <c r="O4" s="9"/>
      <c r="P4" s="9"/>
      <c r="Q4" s="9"/>
    </row>
    <row r="5" spans="1:17" ht="48" customHeight="1">
      <c r="A5" s="5" t="s">
        <v>438</v>
      </c>
      <c r="B5" s="1" t="s">
        <v>417</v>
      </c>
      <c r="C5" s="1" t="s">
        <v>426</v>
      </c>
      <c r="D5" s="1" t="s">
        <v>439</v>
      </c>
      <c r="E5" s="1" t="s">
        <v>440</v>
      </c>
      <c r="F5" s="1" t="s">
        <v>441</v>
      </c>
      <c r="G5" s="1" t="s">
        <v>442</v>
      </c>
      <c r="H5" s="1" t="s">
        <v>423</v>
      </c>
      <c r="I5" s="3" t="s">
        <v>443</v>
      </c>
      <c r="J5" s="9"/>
      <c r="K5" s="9"/>
      <c r="L5" s="9"/>
      <c r="M5" s="9"/>
      <c r="N5" s="9"/>
      <c r="O5" s="9"/>
      <c r="P5" s="9"/>
      <c r="Q5" s="9"/>
    </row>
    <row r="6" spans="1:17" ht="48" customHeight="1">
      <c r="A6" s="5" t="s">
        <v>444</v>
      </c>
      <c r="B6" s="1" t="s">
        <v>417</v>
      </c>
      <c r="C6" s="1" t="s">
        <v>432</v>
      </c>
      <c r="D6" s="1" t="s">
        <v>445</v>
      </c>
      <c r="E6" s="1" t="s">
        <v>446</v>
      </c>
      <c r="F6" s="1" t="s">
        <v>447</v>
      </c>
      <c r="G6" s="1" t="s">
        <v>448</v>
      </c>
      <c r="H6" s="1" t="s">
        <v>423</v>
      </c>
      <c r="I6" s="3"/>
      <c r="J6" s="9"/>
      <c r="K6" s="9"/>
      <c r="L6" s="9"/>
      <c r="M6" s="9"/>
      <c r="N6" s="9"/>
      <c r="O6" s="9"/>
      <c r="P6" s="9"/>
      <c r="Q6" s="9"/>
    </row>
    <row r="7" spans="1:17" ht="48" customHeight="1">
      <c r="A7" s="5" t="s">
        <v>449</v>
      </c>
      <c r="B7" s="1" t="s">
        <v>417</v>
      </c>
      <c r="C7" s="1" t="s">
        <v>432</v>
      </c>
      <c r="D7" s="1" t="s">
        <v>445</v>
      </c>
      <c r="E7" s="1" t="s">
        <v>450</v>
      </c>
      <c r="F7" s="1" t="s">
        <v>451</v>
      </c>
      <c r="G7" s="1" t="s">
        <v>452</v>
      </c>
      <c r="H7" s="1" t="s">
        <v>423</v>
      </c>
      <c r="I7" s="3"/>
      <c r="J7" s="9"/>
      <c r="K7" s="9"/>
      <c r="L7" s="9"/>
      <c r="M7" s="9"/>
      <c r="N7" s="9"/>
      <c r="O7" s="9"/>
      <c r="P7" s="9"/>
      <c r="Q7" s="9"/>
    </row>
    <row r="8" spans="1:17" ht="48" customHeight="1">
      <c r="A8" s="5" t="s">
        <v>453</v>
      </c>
      <c r="B8" s="1" t="s">
        <v>454</v>
      </c>
      <c r="C8" s="1" t="s">
        <v>426</v>
      </c>
      <c r="D8" s="1" t="s">
        <v>455</v>
      </c>
      <c r="E8" s="1" t="s">
        <v>456</v>
      </c>
      <c r="F8" s="1" t="s">
        <v>457</v>
      </c>
      <c r="G8" s="1" t="s">
        <v>458</v>
      </c>
      <c r="H8" s="1" t="s">
        <v>423</v>
      </c>
      <c r="I8" s="3" t="s">
        <v>459</v>
      </c>
      <c r="J8" s="9"/>
      <c r="K8" s="9"/>
      <c r="L8" s="9"/>
      <c r="M8" s="9"/>
      <c r="N8" s="9"/>
      <c r="O8" s="9"/>
      <c r="P8" s="9"/>
      <c r="Q8" s="9"/>
    </row>
    <row r="9" spans="1:17" ht="48" customHeight="1">
      <c r="A9" s="5" t="s">
        <v>460</v>
      </c>
      <c r="B9" s="1" t="s">
        <v>417</v>
      </c>
      <c r="C9" s="1" t="s">
        <v>426</v>
      </c>
      <c r="D9" s="1" t="s">
        <v>461</v>
      </c>
      <c r="E9" s="1" t="s">
        <v>462</v>
      </c>
      <c r="F9" s="1" t="s">
        <v>463</v>
      </c>
      <c r="G9" s="1" t="s">
        <v>464</v>
      </c>
      <c r="H9" s="1" t="s">
        <v>423</v>
      </c>
      <c r="I9" s="3" t="s">
        <v>465</v>
      </c>
      <c r="J9" s="9"/>
      <c r="K9" s="9"/>
      <c r="L9" s="9"/>
      <c r="M9" s="9"/>
      <c r="N9" s="9"/>
      <c r="O9" s="9"/>
      <c r="P9" s="9"/>
      <c r="Q9" s="9"/>
    </row>
    <row r="10" spans="1:17" ht="48" customHeight="1">
      <c r="A10" s="5" t="s">
        <v>466</v>
      </c>
      <c r="B10" s="1" t="s">
        <v>417</v>
      </c>
      <c r="C10" s="1" t="s">
        <v>426</v>
      </c>
      <c r="D10" s="1" t="s">
        <v>467</v>
      </c>
      <c r="E10" s="1" t="s">
        <v>468</v>
      </c>
      <c r="F10" s="1" t="s">
        <v>469</v>
      </c>
      <c r="G10" s="1" t="s">
        <v>470</v>
      </c>
      <c r="H10" s="1" t="s">
        <v>423</v>
      </c>
      <c r="I10" s="3"/>
      <c r="J10" s="9"/>
      <c r="K10" s="9"/>
      <c r="L10" s="9"/>
      <c r="M10" s="9"/>
      <c r="N10" s="9"/>
      <c r="O10" s="9"/>
      <c r="P10" s="9"/>
      <c r="Q10" s="9"/>
    </row>
    <row r="11" spans="1:17" ht="48" customHeight="1">
      <c r="A11" s="5" t="s">
        <v>205</v>
      </c>
      <c r="B11" s="1" t="s">
        <v>417</v>
      </c>
      <c r="C11" s="1" t="s">
        <v>426</v>
      </c>
      <c r="D11" s="1" t="s">
        <v>199</v>
      </c>
      <c r="E11" s="1" t="s">
        <v>471</v>
      </c>
      <c r="F11" s="1" t="s">
        <v>472</v>
      </c>
      <c r="G11" s="1" t="s">
        <v>473</v>
      </c>
      <c r="H11" s="1" t="s">
        <v>379</v>
      </c>
      <c r="I11" s="3" t="s">
        <v>474</v>
      </c>
      <c r="J11" s="9"/>
      <c r="K11" s="9"/>
      <c r="L11" s="9"/>
      <c r="M11" s="9"/>
      <c r="N11" s="9"/>
      <c r="O11" s="9"/>
      <c r="P11" s="9"/>
      <c r="Q11" s="9"/>
    </row>
    <row r="12" spans="1:17" ht="48" customHeight="1">
      <c r="A12" s="5" t="s">
        <v>475</v>
      </c>
      <c r="B12" s="1" t="s">
        <v>476</v>
      </c>
      <c r="C12" s="1" t="s">
        <v>426</v>
      </c>
      <c r="D12" s="1" t="s">
        <v>477</v>
      </c>
      <c r="E12" s="1" t="s">
        <v>478</v>
      </c>
      <c r="F12" s="1" t="s">
        <v>479</v>
      </c>
      <c r="G12" s="1" t="s">
        <v>480</v>
      </c>
      <c r="H12" s="1" t="s">
        <v>379</v>
      </c>
      <c r="I12" s="3" t="s">
        <v>481</v>
      </c>
      <c r="J12" s="9"/>
      <c r="K12" s="9"/>
      <c r="L12" s="9"/>
      <c r="M12" s="9"/>
      <c r="N12" s="9"/>
      <c r="O12" s="9"/>
      <c r="P12" s="9"/>
      <c r="Q12" s="9"/>
    </row>
    <row r="13" spans="1:17" ht="48" customHeight="1">
      <c r="A13" s="5" t="s">
        <v>482</v>
      </c>
      <c r="B13" s="1" t="s">
        <v>476</v>
      </c>
      <c r="C13" s="1" t="s">
        <v>426</v>
      </c>
      <c r="D13" s="1" t="s">
        <v>477</v>
      </c>
      <c r="E13" s="1" t="s">
        <v>483</v>
      </c>
      <c r="F13" s="1" t="s">
        <v>484</v>
      </c>
      <c r="G13" s="1" t="s">
        <v>485</v>
      </c>
      <c r="H13" s="1" t="s">
        <v>379</v>
      </c>
      <c r="I13" s="3" t="s">
        <v>486</v>
      </c>
      <c r="J13" s="9"/>
      <c r="K13" s="9"/>
      <c r="L13" s="9"/>
      <c r="M13" s="9"/>
      <c r="N13" s="9"/>
      <c r="O13" s="9"/>
      <c r="P13" s="9"/>
      <c r="Q13" s="9"/>
    </row>
    <row r="14" spans="1:17" ht="48" customHeight="1">
      <c r="A14" s="5" t="s">
        <v>487</v>
      </c>
      <c r="B14" s="1" t="s">
        <v>488</v>
      </c>
      <c r="C14" s="1" t="s">
        <v>426</v>
      </c>
      <c r="D14" s="1" t="s">
        <v>489</v>
      </c>
      <c r="E14" s="1" t="s">
        <v>490</v>
      </c>
      <c r="F14" s="1" t="s">
        <v>491</v>
      </c>
      <c r="G14" s="1" t="s">
        <v>492</v>
      </c>
      <c r="H14" s="1" t="s">
        <v>333</v>
      </c>
      <c r="I14" s="3" t="s">
        <v>493</v>
      </c>
      <c r="J14" s="9"/>
      <c r="K14" s="9"/>
      <c r="L14" s="9"/>
      <c r="M14" s="9"/>
      <c r="N14" s="9"/>
      <c r="O14" s="9"/>
      <c r="P14" s="9"/>
      <c r="Q14" s="9"/>
    </row>
    <row r="15" spans="1:17" ht="48" customHeight="1">
      <c r="A15" s="5" t="s">
        <v>494</v>
      </c>
      <c r="B15" s="1" t="s">
        <v>495</v>
      </c>
      <c r="C15" s="1" t="s">
        <v>426</v>
      </c>
      <c r="D15" s="1" t="s">
        <v>496</v>
      </c>
      <c r="E15" s="1" t="s">
        <v>497</v>
      </c>
      <c r="F15" s="1" t="s">
        <v>498</v>
      </c>
      <c r="G15" s="1" t="s">
        <v>499</v>
      </c>
      <c r="H15" s="1" t="s">
        <v>423</v>
      </c>
      <c r="I15" s="3" t="s">
        <v>500</v>
      </c>
      <c r="J15" s="9"/>
      <c r="K15" s="9"/>
      <c r="L15" s="9"/>
      <c r="M15" s="9"/>
      <c r="N15" s="9"/>
      <c r="O15" s="9"/>
      <c r="P15" s="9"/>
      <c r="Q15" s="9"/>
    </row>
    <row r="16" spans="1:17" ht="48" customHeight="1">
      <c r="A16" s="5" t="s">
        <v>501</v>
      </c>
      <c r="B16" s="1" t="s">
        <v>495</v>
      </c>
      <c r="C16" s="1" t="s">
        <v>426</v>
      </c>
      <c r="D16" s="1" t="s">
        <v>496</v>
      </c>
      <c r="E16" s="1" t="s">
        <v>502</v>
      </c>
      <c r="F16" s="1" t="s">
        <v>503</v>
      </c>
      <c r="G16" s="1" t="s">
        <v>504</v>
      </c>
      <c r="H16" s="1" t="s">
        <v>423</v>
      </c>
      <c r="I16" s="3"/>
      <c r="J16" s="9"/>
      <c r="K16" s="9"/>
      <c r="L16" s="9"/>
      <c r="M16" s="9"/>
      <c r="N16" s="9"/>
      <c r="O16" s="9"/>
      <c r="P16" s="9"/>
      <c r="Q16" s="9"/>
    </row>
    <row r="17" spans="1:17" ht="48" customHeight="1">
      <c r="A17" s="5" t="s">
        <v>505</v>
      </c>
      <c r="B17" s="1" t="s">
        <v>495</v>
      </c>
      <c r="C17" s="1" t="s">
        <v>432</v>
      </c>
      <c r="D17" s="1" t="s">
        <v>506</v>
      </c>
      <c r="E17" s="1" t="s">
        <v>434</v>
      </c>
      <c r="F17" s="1" t="s">
        <v>507</v>
      </c>
      <c r="G17" s="1" t="s">
        <v>508</v>
      </c>
      <c r="H17" s="1" t="s">
        <v>423</v>
      </c>
      <c r="I17" s="3"/>
      <c r="J17" s="9"/>
      <c r="K17" s="9"/>
      <c r="L17" s="9"/>
      <c r="M17" s="9"/>
      <c r="N17" s="9"/>
      <c r="O17" s="9"/>
      <c r="P17" s="9"/>
      <c r="Q17" s="9"/>
    </row>
    <row r="18" spans="1:17" ht="48" customHeight="1">
      <c r="A18" s="5" t="s">
        <v>509</v>
      </c>
      <c r="B18" s="1" t="s">
        <v>495</v>
      </c>
      <c r="C18" s="1" t="s">
        <v>432</v>
      </c>
      <c r="D18" s="1" t="s">
        <v>510</v>
      </c>
      <c r="E18" s="1" t="s">
        <v>30</v>
      </c>
      <c r="F18" s="1" t="s">
        <v>511</v>
      </c>
      <c r="G18" s="1" t="s">
        <v>512</v>
      </c>
      <c r="H18" s="1" t="s">
        <v>423</v>
      </c>
      <c r="I18" s="3"/>
      <c r="J18" s="9"/>
      <c r="K18" s="9"/>
      <c r="L18" s="9"/>
      <c r="M18" s="9"/>
      <c r="N18" s="9"/>
      <c r="O18" s="9"/>
      <c r="P18" s="9"/>
      <c r="Q18" s="9"/>
    </row>
    <row r="19" spans="1:17" ht="48" customHeight="1">
      <c r="A19" s="5" t="s">
        <v>513</v>
      </c>
      <c r="B19" s="1" t="s">
        <v>495</v>
      </c>
      <c r="C19" s="1" t="s">
        <v>426</v>
      </c>
      <c r="D19" s="1" t="s">
        <v>514</v>
      </c>
      <c r="E19" s="1" t="s">
        <v>515</v>
      </c>
      <c r="F19" s="1" t="s">
        <v>516</v>
      </c>
      <c r="G19" s="1" t="s">
        <v>517</v>
      </c>
      <c r="H19" s="1" t="s">
        <v>423</v>
      </c>
      <c r="I19" s="3"/>
      <c r="J19" s="9"/>
      <c r="K19" s="9"/>
      <c r="L19" s="9"/>
      <c r="M19" s="9"/>
      <c r="N19" s="9"/>
      <c r="O19" s="9"/>
      <c r="P19" s="9"/>
      <c r="Q19" s="9"/>
    </row>
    <row r="20" spans="1:17" ht="48" customHeight="1">
      <c r="A20" s="5" t="s">
        <v>518</v>
      </c>
      <c r="B20" s="1" t="s">
        <v>495</v>
      </c>
      <c r="C20" s="1" t="s">
        <v>426</v>
      </c>
      <c r="D20" s="1" t="s">
        <v>514</v>
      </c>
      <c r="E20" s="1" t="s">
        <v>519</v>
      </c>
      <c r="F20" s="1" t="s">
        <v>520</v>
      </c>
      <c r="G20" s="1" t="s">
        <v>521</v>
      </c>
      <c r="H20" s="1" t="s">
        <v>423</v>
      </c>
      <c r="I20" s="3" t="s">
        <v>522</v>
      </c>
      <c r="J20" s="9"/>
      <c r="K20" s="9"/>
      <c r="L20" s="9"/>
      <c r="M20" s="9"/>
      <c r="N20" s="9"/>
      <c r="O20" s="9"/>
      <c r="P20" s="9"/>
      <c r="Q20" s="9"/>
    </row>
    <row r="21" spans="1:17" ht="48" customHeight="1">
      <c r="A21" s="5" t="s">
        <v>523</v>
      </c>
      <c r="B21" s="1" t="s">
        <v>495</v>
      </c>
      <c r="C21" s="1" t="s">
        <v>426</v>
      </c>
      <c r="D21" s="1" t="s">
        <v>514</v>
      </c>
      <c r="E21" s="1" t="s">
        <v>524</v>
      </c>
      <c r="F21" s="1" t="s">
        <v>525</v>
      </c>
      <c r="G21" s="1" t="s">
        <v>521</v>
      </c>
      <c r="H21" s="1" t="s">
        <v>423</v>
      </c>
      <c r="I21" s="3"/>
      <c r="J21" s="9"/>
      <c r="K21" s="9"/>
      <c r="L21" s="9"/>
      <c r="M21" s="9"/>
      <c r="N21" s="9"/>
      <c r="O21" s="9"/>
      <c r="P21" s="9"/>
      <c r="Q21" s="9"/>
    </row>
    <row r="22" spans="1:17" ht="48" customHeight="1">
      <c r="A22" s="5" t="s">
        <v>526</v>
      </c>
      <c r="B22" s="1" t="s">
        <v>454</v>
      </c>
      <c r="C22" s="1" t="s">
        <v>426</v>
      </c>
      <c r="D22" s="1" t="s">
        <v>527</v>
      </c>
      <c r="E22" s="1" t="s">
        <v>528</v>
      </c>
      <c r="F22" s="1" t="s">
        <v>529</v>
      </c>
      <c r="G22" s="1" t="s">
        <v>530</v>
      </c>
      <c r="H22" s="1" t="s">
        <v>423</v>
      </c>
      <c r="I22" s="3"/>
      <c r="J22" s="9"/>
      <c r="K22" s="9"/>
      <c r="L22" s="9"/>
      <c r="M22" s="9"/>
      <c r="N22" s="9"/>
      <c r="O22" s="9"/>
      <c r="P22" s="9"/>
      <c r="Q22" s="9"/>
    </row>
    <row r="23" spans="1:17" ht="48" customHeight="1">
      <c r="A23" s="5" t="s">
        <v>531</v>
      </c>
      <c r="B23" s="1" t="s">
        <v>454</v>
      </c>
      <c r="C23" s="1" t="s">
        <v>426</v>
      </c>
      <c r="D23" s="1" t="s">
        <v>527</v>
      </c>
      <c r="E23" s="1" t="s">
        <v>532</v>
      </c>
      <c r="F23" s="1" t="s">
        <v>533</v>
      </c>
      <c r="G23" s="1" t="s">
        <v>530</v>
      </c>
      <c r="H23" s="1" t="s">
        <v>423</v>
      </c>
      <c r="I23" s="3" t="s">
        <v>534</v>
      </c>
      <c r="J23" s="9"/>
      <c r="K23" s="9"/>
      <c r="L23" s="9"/>
      <c r="M23" s="9"/>
      <c r="N23" s="9"/>
      <c r="O23" s="9"/>
      <c r="P23" s="9"/>
      <c r="Q23" s="9"/>
    </row>
    <row r="24" spans="1:17" ht="48" customHeight="1">
      <c r="A24" s="5" t="s">
        <v>535</v>
      </c>
      <c r="B24" s="1" t="s">
        <v>495</v>
      </c>
      <c r="C24" s="1" t="s">
        <v>432</v>
      </c>
      <c r="D24" s="1" t="s">
        <v>536</v>
      </c>
      <c r="E24" s="1" t="s">
        <v>537</v>
      </c>
      <c r="F24" s="1" t="s">
        <v>538</v>
      </c>
      <c r="G24" s="1" t="s">
        <v>539</v>
      </c>
      <c r="H24" s="1" t="s">
        <v>423</v>
      </c>
      <c r="I24" s="3" t="s">
        <v>540</v>
      </c>
      <c r="J24" s="9"/>
      <c r="K24" s="9"/>
      <c r="L24" s="9"/>
      <c r="M24" s="9"/>
      <c r="N24" s="9"/>
      <c r="O24" s="9"/>
      <c r="P24" s="9"/>
      <c r="Q24" s="9"/>
    </row>
    <row r="25" spans="1:17" ht="48" customHeight="1">
      <c r="A25" s="5" t="s">
        <v>541</v>
      </c>
      <c r="B25" s="1" t="s">
        <v>495</v>
      </c>
      <c r="C25" s="1" t="s">
        <v>432</v>
      </c>
      <c r="D25" s="1" t="s">
        <v>514</v>
      </c>
      <c r="E25" s="1" t="s">
        <v>542</v>
      </c>
      <c r="F25" s="1" t="s">
        <v>543</v>
      </c>
      <c r="G25" s="1" t="s">
        <v>544</v>
      </c>
      <c r="H25" s="1" t="s">
        <v>423</v>
      </c>
      <c r="I25" s="3"/>
      <c r="J25" s="9"/>
      <c r="K25" s="9"/>
      <c r="L25" s="9"/>
      <c r="M25" s="9"/>
      <c r="N25" s="9"/>
      <c r="O25" s="9"/>
      <c r="P25" s="9"/>
      <c r="Q25" s="9"/>
    </row>
    <row r="26" spans="1:17" ht="48" customHeight="1">
      <c r="A26" s="6" t="s">
        <v>545</v>
      </c>
      <c r="B26" s="8" t="s">
        <v>495</v>
      </c>
      <c r="C26" s="8" t="s">
        <v>426</v>
      </c>
      <c r="D26" s="8" t="s">
        <v>514</v>
      </c>
      <c r="E26" s="8" t="s">
        <v>546</v>
      </c>
      <c r="F26" s="8" t="s">
        <v>547</v>
      </c>
      <c r="G26" s="8" t="s">
        <v>548</v>
      </c>
      <c r="H26" s="8" t="s">
        <v>423</v>
      </c>
      <c r="I26" s="4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conditionalFormatting sqref="H2:H26">
    <cfRule type="expression" dxfId="2" priority="1">
      <formula>H2="High"</formula>
    </cfRule>
    <cfRule type="expression" dxfId="1" priority="2">
      <formula>H2="Medium"</formula>
    </cfRule>
    <cfRule type="expression" dxfId="0" priority="3">
      <formula>H2="Low"</formula>
    </cfRule>
  </conditionalFormatting>
  <dataValidations count="1">
    <dataValidation type="list" sqref="H2:H26" xr:uid="{00000000-0002-0000-0400-000000000000}">
      <formula1>"Low,Medium,High,Prohibited"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0"/>
  <sheetViews>
    <sheetView workbookViewId="0"/>
  </sheetViews>
  <sheetFormatPr defaultRowHeight="13.8"/>
  <cols>
    <col min="1" max="1" width="36" customWidth="1"/>
    <col min="2" max="2" width="90" customWidth="1"/>
    <col min="3" max="3" width="55" customWidth="1"/>
  </cols>
  <sheetData>
    <row r="1" spans="1:17">
      <c r="A1" s="14" t="s">
        <v>549</v>
      </c>
      <c r="B1" s="19" t="s">
        <v>550</v>
      </c>
      <c r="C1" s="15" t="s">
        <v>551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38.4" customHeight="1">
      <c r="A2" s="5" t="s">
        <v>552</v>
      </c>
      <c r="B2" s="1" t="s">
        <v>553</v>
      </c>
      <c r="C2" s="3" t="s">
        <v>554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38.4" customHeight="1">
      <c r="A3" s="5" t="s">
        <v>555</v>
      </c>
      <c r="B3" s="1" t="s">
        <v>556</v>
      </c>
      <c r="C3" s="3" t="s">
        <v>557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38.4" customHeight="1">
      <c r="A4" s="5" t="s">
        <v>558</v>
      </c>
      <c r="B4" s="1" t="s">
        <v>559</v>
      </c>
      <c r="C4" s="3" t="s">
        <v>560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38.4" customHeight="1">
      <c r="A5" s="5" t="s">
        <v>561</v>
      </c>
      <c r="B5" s="1" t="s">
        <v>562</v>
      </c>
      <c r="C5" s="3" t="s">
        <v>563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8.4" customHeight="1">
      <c r="A6" s="5" t="s">
        <v>564</v>
      </c>
      <c r="B6" s="1" t="s">
        <v>565</v>
      </c>
      <c r="C6" s="3" t="s">
        <v>566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38.4" customHeight="1">
      <c r="A7" s="5" t="s">
        <v>567</v>
      </c>
      <c r="B7" s="1" t="s">
        <v>568</v>
      </c>
      <c r="C7" s="3" t="s">
        <v>569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38.4" customHeight="1">
      <c r="A8" s="5" t="s">
        <v>570</v>
      </c>
      <c r="B8" s="1" t="s">
        <v>571</v>
      </c>
      <c r="C8" s="3" t="s">
        <v>572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38.4" customHeight="1">
      <c r="A9" s="5" t="s">
        <v>573</v>
      </c>
      <c r="B9" s="1" t="s">
        <v>574</v>
      </c>
      <c r="C9" s="3" t="s">
        <v>575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38.4" customHeight="1">
      <c r="A10" s="6" t="s">
        <v>576</v>
      </c>
      <c r="B10" s="8" t="s">
        <v>577</v>
      </c>
      <c r="C10" s="4" t="s">
        <v>578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Event Plan</vt:lpstr>
      <vt:lpstr>Consent &amp; Identity</vt:lpstr>
      <vt:lpstr>QA Test Matrix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Cihangir</dc:creator>
  <cp:lastModifiedBy>Emre Cihangir</cp:lastModifiedBy>
  <dcterms:created xsi:type="dcterms:W3CDTF">2026-08-03T15:16:15Z</dcterms:created>
  <dcterms:modified xsi:type="dcterms:W3CDTF">2026-08-03T15:16:15Z</dcterms:modified>
</cp:coreProperties>
</file>